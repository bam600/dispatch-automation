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80890d3c554127" /></Relationships>
</file>

<file path=xl/workbook.xml><?xml version="1.0" encoding="utf-8"?>
<x:workbook xmlns:x="http://schemas.openxmlformats.org/spreadsheetml/2006/main">
  <x:sheets>
    <x:sheet xmlns:r="http://schemas.openxmlformats.org/officeDocument/2006/relationships" name="Sheet1" sheetId="1" r:id="R46dcdcd1114c4bab"/>
    <x:sheet xmlns:r="http://schemas.openxmlformats.org/officeDocument/2006/relationships" name="01_テスト結果一覧" sheetId="2" r:id="R49dbb2ef7b4e49b8"/>
    <x:sheet xmlns:r="http://schemas.openxmlformats.org/officeDocument/2006/relationships" name="02_T01-T10判定基準" sheetId="3" r:id="Rd40c4d896bc74017"/>
    <x:sheet xmlns:r="http://schemas.openxmlformats.org/officeDocument/2006/relationships" name="03_入力ルール" sheetId="4" r:id="R52aa5e9ab5c3410b"/>
    <x:sheet xmlns:r="http://schemas.openxmlformats.org/officeDocument/2006/relationships" name="05_ケース別テスト対応" sheetId="5" r:id="R1921445dfe054be7"/>
    <x:sheet xmlns:r="http://schemas.openxmlformats.org/officeDocument/2006/relationships" name="06_試験ID件数サマリー" sheetId="6" r:id="R4985bb246f474216"/>
    <x:sheet xmlns:r="http://schemas.openxmlformats.org/officeDocument/2006/relationships" name="00_使い方" sheetId="7" r:id="R8a8f06c3b52e4d1c"/>
    <x:sheet xmlns:r="http://schemas.openxmlformats.org/officeDocument/2006/relationships" name="00_PoC一括実行" sheetId="8" r:id="R152f37e37159421d"/>
    <x:sheet xmlns:r="http://schemas.openxmlformats.org/officeDocument/2006/relationships" name="07_画像基準再分類_変更一覧" sheetId="9" r:id="Ra20220e704574611"/>
  </x:sheets>
</x:workbook>
</file>

<file path=xl/sharedStrings.xml><?xml version="1.0" encoding="utf-8"?>
<x:sst xmlns:x="http://schemas.openxmlformats.org/spreadsheetml/2006/main">
  <x:si>
    <x:t xml:space="preserve">運送委託書　/　運送引取書</x:t>
  </x:si>
  <x:si>
    <x:t xml:space="preserve">申込日</x:t>
  </x:si>
  <x:si>
    <x:t xml:space="preserve">委託者</x:t>
  </x:si>
  <x:si>
    <x:t xml:space="preserve">社名</x:t>
  </x:si>
  <x:si>
    <x:t xml:space="preserve">担当者</x:t>
  </x:si>
  <x:si>
    <x:t xml:space="preserve">TEL</x:t>
  </x:si>
  <x:si>
    <x:t xml:space="preserve">住所</x:t>
  </x:si>
  <x:si>
    <x:t xml:space="preserve">FAX</x:t>
  </x:si>
  <x:si>
    <x:t xml:space="preserve">緊急連絡先</x:t>
  </x:si>
  <x:si>
    <x:t xml:space="preserve">引受者</x:t>
  </x:si>
  <x:si>
    <x:t xml:space="preserve">御中</x:t>
  </x:si>
  <x:si>
    <x:t xml:space="preserve">積地</x:t>
  </x:si>
  <x:si>
    <x:t xml:space="preserve">月日</x:t>
  </x:si>
  <x:si>
    <x:t xml:space="preserve">時間</x:t>
  </x:si>
  <x:si>
    <x:t xml:space="preserve">会社名</x:t>
  </x:si>
  <x:si>
    <x:t xml:space="preserve">電話番号</x:t>
  </x:si>
  <x:si>
    <x:t xml:space="preserve">その他</x:t>
  </x:si>
  <x:si>
    <x:t xml:space="preserve">着地</x:t>
  </x:si>
  <x:si>
    <x:t xml:space="preserve">メモ</x:t>
  </x:si>
  <x:si>
    <x:t xml:space="preserve">車種</x:t>
  </x:si>
  <x:si>
    <x:t xml:space="preserve">積荷</x:t>
  </x:si>
  <x:si>
    <x:t xml:space="preserve">雑貨</x:t>
  </x:si>
  <x:si>
    <x:t xml:space="preserve">内容</x:t>
  </x:si>
  <x:si>
    <x:t xml:space="preserve">積込作業の委託</x:t>
  </x:si>
  <x:si>
    <x:t xml:space="preserve">無　・　有</x:t>
  </x:si>
  <x:si>
    <x:t xml:space="preserve">作業時間(合計　　　　　　　分程度)</x:t>
  </x:si>
  <x:si>
    <x:t xml:space="preserve">作業詳細(　　　　　　　　　　　　　　　　　　　　　)</x:t>
  </x:si>
  <x:si>
    <x:t xml:space="preserve">荷卸作業の委託</x:t>
  </x:si>
  <x:si>
    <x:t xml:space="preserve">運賃</x:t>
  </x:si>
  <x:si>
    <x:t xml:space="preserve">円</x:t>
  </x:si>
  <x:si>
    <x:t xml:space="preserve">有料道路利用料(税込み)</x:t>
  </x:si>
  <x:si>
    <x:t xml:space="preserve">無　・　有（　　　　　　　　　　　　　　　　　　）</x:t>
  </x:si>
  <x:si>
    <x:t xml:space="preserve">燃料サーチャージ</x:t>
  </x:si>
  <x:si>
    <x:t xml:space="preserve">待機料</x:t>
  </x:si>
  <x:si>
    <x:t xml:space="preserve">(見込待機時間：　　　　　　　　分　　30分あたり単価：　　　　　　　　円)</x:t>
  </x:si>
  <x:si>
    <x:t xml:space="preserve">付帯業務料</x:t>
  </x:si>
  <x:si>
    <x:t xml:space="preserve">無 ・ 有　(業務日時・内容：　　　　　　　　　　　　　　　　　　　　　　　　　　)</x:t>
  </x:si>
  <x:si>
    <x:t xml:space="preserve">＊本運送委託書の金額は、消費税・地方消費税抜きの金額です。支払期日には法定税率による消費税額・地方消費税額分を加算して支払います。</x:t>
  </x:si>
  <x:si>
    <x:t xml:space="preserve">締日：末 ・ (　　　　)日　締</x:t>
  </x:si>
  <x:si>
    <x:t xml:space="preserve">払日：(　翌　・　翌々　)　月末払　・　(　　　　　　　　　　　　　　　)払</x:t>
  </x:si>
  <x:si>
    <x:t xml:space="preserve">支払方法：銀行振込</x:t>
  </x:si>
  <x:si>
    <x:t xml:space="preserve">※車番が決まりましたら返信ファックスをお願いします。(FAX:048-910-9701)</x:t>
  </x:si>
  <x:si>
    <x:t xml:space="preserve">車番連絡</x:t>
  </x:si>
  <x:si>
    <x:t xml:space="preserve">実運送会社</x:t>
  </x:si>
  <x:si>
    <x:t xml:space="preserve">車番</x:t>
  </x:si>
  <x:si>
    <x:t xml:space="preserve">氏名</x:t>
  </x:si>
  <x:si>
    <x:t xml:space="preserve">携帯番号</x:t>
  </x:si>
  <x:si>
    <x:t xml:space="preserve">請負階層</x:t>
  </x:si>
  <x:si>
    <x:t xml:space="preserve">上記実運送会社は、</x:t>
  </x:si>
  <x:si>
    <x:t xml:space="preserve">次　</x:t>
  </x:si>
  <x:si>
    <x:t xml:space="preserve">請負事業者となります。</x:t>
  </x:si>
  <x:si>
    <x:t xml:space="preserve">　　＊(株)樋口物流サービスが一次請負事業者として何次請負事業者かお教えください。</x:t>
  </x:si>
  <x:si>
    <x:t xml:space="preserve">・上記の通り運送を受託します。</x:t>
  </x:si>
  <x:si>
    <x:t xml:space="preserve">令和　　　年　　　月　　　日</x:t>
  </x:si>
  <x:si>
    <x:t xml:space="preserve">運送受託者（貨物自動車運送事業者）</x:t>
  </x:si>
  <x:si>
    <x:t xml:space="preserve">配車指示書AI PoC テスト結果一覧</x:t>
  </x:si>
  <x:si>
    <x:t xml:space="preserve">実施件数</x:t>
  </x:si>
  <x:si>
    <x:t xml:space="preserve">合格件数</x:t>
  </x:si>
  <x:si>
    <x:t xml:space="preserve">不合格件数</x:t>
  </x:si>
  <x:si>
    <x:t xml:space="preserve">合格率</x:t>
  </x:si>
  <x:si>
    <x:t xml:space="preserve">誤読合計</x:t>
  </x:si>
  <x:si>
    <x:t xml:space="preserve">勝手に確定</x:t>
  </x:si>
  <x:si>
    <x:t xml:space="preserve">禁止情報誤出力</x:t>
  </x:si>
  <x:si>
    <x:t xml:space="preserve">平均総作業時間(分)</x:t>
  </x:si>
  <x:si>
    <x:t xml:space="preserve">No.</x:t>
  </x:si>
  <x:si>
    <x:t xml:space="preserve">実施日</x:t>
  </x:si>
  <x:si>
    <x:t xml:space="preserve">ケースID</x:t>
  </x:si>
  <x:si>
    <x:t xml:space="preserve">試験ID</x:t>
  </x:si>
  <x:si>
    <x:t xml:space="preserve">原本種別</x:t>
  </x:si>
  <x:si>
    <x:t xml:space="preserve">積地エリア</x:t>
  </x:si>
  <x:si>
    <x:t xml:space="preserve">卸地エリア</x:t>
  </x:si>
  <x:si>
    <x:t xml:space="preserve">難易度</x:t>
  </x:si>
  <x:si>
    <x:t xml:space="preserve">流用元有無</x:t>
  </x:si>
  <x:si>
    <x:t xml:space="preserve">新規入力項目数</x:t>
  </x:si>
  <x:si>
    <x:t xml:space="preserve">AI操作時間(分)</x:t>
  </x:si>
  <x:si>
    <x:t xml:space="preserve">人の確認時間(分)</x:t>
  </x:si>
  <x:si>
    <x:t xml:space="preserve">修正時間(分)</x:t>
  </x:si>
  <x:si>
    <x:t xml:space="preserve">総作業時間(分)</x:t>
  </x:si>
  <x:si>
    <x:t xml:space="preserve">明確に読取れた項目数</x:t>
  </x:si>
  <x:si>
    <x:t xml:space="preserve">要確認項目数</x:t>
  </x:si>
  <x:si>
    <x:t xml:space="preserve">誤読件数</x:t>
  </x:si>
  <x:si>
    <x:t xml:space="preserve">勝手に確定した件数</x:t>
  </x:si>
  <x:si>
    <x:t xml:space="preserve">積地・卸地順序誤り件数</x:t>
  </x:si>
  <x:si>
    <x:t xml:space="preserve">禁止情報誤出力件数</x:t>
  </x:si>
  <x:si>
    <x:t xml:space="preserve">テンプレート自動入力</x:t>
  </x:si>
  <x:si>
    <x:t xml:space="preserve">修正内容</x:t>
  </x:si>
  <x:si>
    <x:t xml:space="preserve">判定者</x:t>
  </x:si>
  <x:si>
    <x:t xml:space="preserve">配車担当確認</x:t>
  </x:si>
  <x:si>
    <x:t xml:space="preserve">合否</x:t>
  </x:si>
  <x:si>
    <x:t xml:space="preserve">確認メモ</x:t>
  </x:si>
  <x:si>
    <x:t xml:space="preserve">処理開始時刻</x:t>
  </x:si>
  <x:si>
    <x:t xml:space="preserve">画像読込開始時刻</x:t>
  </x:si>
  <x:si>
    <x:t xml:space="preserve">画像読込完了時刻</x:t>
  </x:si>
  <x:si>
    <x:t xml:space="preserve">画像読込所要時間(秒)</x:t>
  </x:si>
  <x:si>
    <x:t xml:space="preserve">処理完了時刻</x:t>
  </x:si>
  <x:si>
    <x:t xml:space="preserve">Excel書込開始時刻</x:t>
  </x:si>
  <x:si>
    <x:t xml:space="preserve">PDF出力完了時刻</x:t>
  </x:si>
  <x:si>
    <x:t xml:space="preserve">Excel書込・PDF出力所要時間(秒)</x:t>
  </x:si>
  <x:si>
    <x:t xml:space="preserve">記載なし項目数</x:t>
  </x:si>
  <x:si>
    <x:t xml:space="preserve">矛盾項目数</x:t>
  </x:si>
  <x:si>
    <x:t xml:space="preserve">AIが人に確認を戻した項目数</x:t>
  </x:si>
  <x:si>
    <x:t xml:space="preserve">読込結果反映状況</x:t>
  </x:si>
  <x:si>
    <x:t xml:space="preserve">読込結果反映メモ</x:t>
  </x:si>
  <x:si>
    <x:t xml:space="preserve">対象</x:t>
  </x:si>
  <x:si>
    <x:t xml:space="preserve">帳票／形式</x:t>
  </x:si>
  <x:si>
    <x:t xml:space="preserve">主な確認内容</x:t>
  </x:si>
  <x:si>
    <x:t xml:space="preserve">合格条件</x:t>
  </x:si>
  <x:si>
    <x:t xml:space="preserve">このケースの検証ポイント</x:t>
  </x:si>
  <x:si>
    <x:t xml:space="preserve">推奨判定者</x:t>
  </x:si>
  <x:si>
    <x:t xml:space="preserve">不合格となる例</x:t>
  </x:si>
  <x:si>
    <x:t xml:space="preserve">判定基準備考</x:t>
  </x:si>
  <x:si>
    <x:t xml:space="preserve">画像ファイル名</x:t>
  </x:si>
  <x:si>
    <x:t xml:space="preserve">D001</x:t>
  </x:si>
  <x:si>
    <x:t xml:space="preserve">標準印字・定型帳票</x:t>
  </x:si>
  <x:si>
    <x:t xml:space="preserve">貨物配送依頼書</x:t>
  </x:si>
  <x:si>
    <x:t xml:space="preserve">明瞭な印字項目の抽出・欄対応</x:t>
  </x:si>
  <x:si>
    <x:t xml:space="preserve">明瞭な必須情報の抽出漏れ0件、明瞭な情報の誤入力・誤分類0件。未記載は補完しない。</x:t>
  </x:si>
  <x:si>
    <x:t xml:space="preserve">表形式で明瞭な標準帳票。明瞭な印字項目の抽出・欄対応を中心に検証する。</x:t>
  </x:si>
  <x:si>
    <x:t xml:space="preserve">配車担当＋作成者</x:t>
  </x:si>
  <x:si>
    <x:t xml:space="preserve">明瞭な積地・卸地・日時・数量を誤読／別欄へ誤分類する</x:t>
  </x:si>
  <x:si>
    <x:t xml:space="preserve">標準読取のベースライン</x:t>
  </x:si>
  <x:si>
    <x:t xml:space="preserve">D001.jpg</x:t>
  </x:si>
  <x:si>
    <x:t xml:space="preserve">D002</x:t>
  </x:si>
  <x:si>
    <x:t xml:space="preserve">FAX・スキャン劣化</x:t>
  </x:si>
  <x:si>
    <x:t xml:space="preserve">配送依頼書（FAX）</x:t>
  </x:si>
  <x:si>
    <x:t xml:space="preserve">かすれ・黒つぶれ・低コントラスト箇所の扱い</x:t>
  </x:si>
  <x:si>
    <x:t xml:space="preserve">判読できる箇所の誤読0件。判読不能箇所の勝手な確定0件。不明は要確認にする。</x:t>
  </x:si>
  <x:si>
    <x:t xml:space="preserve">黒つぶれ・かすれ・走査ノイズが目立つFAX。かすれ・黒つぶれ・低コントラスト箇所の扱いを中心に検証する。</x:t>
  </x:si>
  <x:si>
    <x:t xml:space="preserve">潰れた電話番号や文字を推測して確定する</x:t>
  </x:si>
  <x:si>
    <x:t xml:space="preserve">画像劣化は安全側に倒す</x:t>
  </x:si>
  <x:si>
    <x:t xml:space="preserve">D002.jpg</x:t>
  </x:si>
  <x:si>
    <x:t xml:space="preserve">D003</x:t>
  </x:si>
  <x:si>
    <x:t xml:space="preserve">手書き主体</x:t>
  </x:si>
  <x:si>
    <x:t xml:space="preserve">運送手配メモ</x:t>
  </x:si>
  <x:si>
    <x:t xml:space="preserve">手書き情報の抽出・構造化</x:t>
  </x:si>
  <x:si>
    <x:t xml:space="preserve">明確に読める手書き情報の反映漏れ0件、誤読0件。判読不能は要確認にする。</x:t>
  </x:si>
  <x:si>
    <x:t xml:space="preserve">紙面全体が手書きで、吹き出し状の追記もある。手書き情報の抽出・構造化を中心に検証する。</x:t>
  </x:si>
  <x:si>
    <x:t xml:space="preserve">読めない手書きを推測する／積地と卸地を取り違える</x:t>
  </x:si>
  <x:si>
    <x:t xml:space="preserve">手書きの表現揺れを吸収しつつ原文を保持</x:t>
  </x:si>
  <x:si>
    <x:t xml:space="preserve">D003.jpg</x:t>
  </x:si>
  <x:si>
    <x:t xml:space="preserve">D004</x:t>
  </x:si>
  <x:si>
    <x:t xml:space="preserve">訂正・追記・矛盾</x:t>
  </x:si>
  <x:si>
    <x:t xml:space="preserve">配送依頼メール</x:t>
  </x:si>
  <x:si>
    <x:t xml:space="preserve">訂正前後・追記・矛盾情報の優先判断</x:t>
  </x:si>
  <x:si>
    <x:t xml:space="preserve">明確な訂正後情報の採用漏れ0件。取消線前の値を採用しない。矛盾が残る場合は勝手に決めず要確認へ戻す。</x:t>
  </x:si>
  <x:si>
    <x:t xml:space="preserve">メール本文に手書きの時刻・連絡注意等が追加されている。訂正前後・追記・矛盾情報の優先判断を中心に検証する。</x:t>
  </x:si>
  <x:si>
    <x:t xml:space="preserve">訂正前の数量・時刻を採用／付箋や赤字追記を無視／矛盾する一方を勝手に採用</x:t>
  </x:si>
  <x:si>
    <x:t xml:space="preserve">訂正の意図が不明なら人が最終判断</x:t>
  </x:si>
  <x:si>
    <x:t xml:space="preserve">D004.jpg</x:t>
  </x:si>
  <x:si>
    <x:t xml:space="preserve">D005</x:t>
  </x:si>
  <x:si>
    <x:t xml:space="preserve">運送指示書</x:t>
  </x:si>
  <x:si>
    <x:t xml:space="preserve">積込時刻・数量などに手書き訂正が入っている。訂正前後・追記・矛盾情報の優先判断を中心に検証する。</x:t>
  </x:si>
  <x:si>
    <x:t xml:space="preserve">D005.jpg</x:t>
  </x:si>
  <x:si>
    <x:t xml:space="preserve">D006</x:t>
  </x:si>
  <x:si>
    <x:t xml:space="preserve">運送依頼書（FAX）</x:t>
  </x:si>
  <x:si>
    <x:t xml:space="preserve">FAXノイズが強く、手書き記入欄も混在している。かすれ・黒つぶれ・低コントラスト箇所の扱いを中心に検証する。</x:t>
  </x:si>
  <x:si>
    <x:t xml:space="preserve">D006.jpg</x:t>
  </x:si>
  <x:si>
    <x:t xml:space="preserve">D007</x:t>
  </x:si>
  <x:si>
    <x:t xml:space="preserve">複数地点・複数案件</x:t>
  </x:si>
  <x:si>
    <x:t xml:space="preserve">配送依頼書（複数地点）</x:t>
  </x:si>
  <x:si>
    <x:t xml:space="preserve">地点・案件の順序と日時・荷物の紐付け保持</x:t>
  </x:si>
  <x:si>
    <x:t xml:space="preserve">地点・案件の欠落0件、順序逆転0件、日時・荷物・担当の紐付け誤り0件。</x:t>
  </x:si>
  <x:si>
    <x:t xml:space="preserve">積込2地点・荷卸2地点が順序付きで記載されている。地点・案件の順序と日時・荷物の紐付け保持を中心に検証する。</x:t>
  </x:si>
  <x:si>
    <x:t xml:space="preserve">配車担当</x:t>
  </x:si>
  <x:si>
    <x:t xml:space="preserve">積地②と卸地①を逆転する／別案件の数量を混在させる</x:t>
  </x:si>
  <x:si>
    <x:t xml:space="preserve">順番や紐付けが不明なら要確認</x:t>
  </x:si>
  <x:si>
    <x:t xml:space="preserve">D007.jpg</x:t>
  </x:si>
  <x:si>
    <x:t xml:space="preserve">D008</x:t>
  </x:si>
  <x:si>
    <x:t xml:space="preserve">曖昧日時・時間幅</x:t>
  </x:si>
  <x:si>
    <x:t xml:space="preserve">輸送手配依頼文書</x:t>
  </x:si>
  <x:si>
    <x:t xml:space="preserve">AM/PM・午前中・頃・まで・以降・時間幅の保持</x:t>
  </x:si>
  <x:si>
    <x:t xml:space="preserve">日付・曜日・AM/PM誤り0件。条件語・時間幅の欠落0件。曖昧表現を具体時刻へ勝手に変換しない。</x:t>
  </x:si>
  <x:si>
    <x:t xml:space="preserve">『午前9時頃』『午前中』『午後2時まで』等の幅を持つ時刻表現がある。AM/PM・午前中・頃・まで・以降・時間幅の保持を中心に検証する。</x:t>
  </x:si>
  <x:si>
    <x:t xml:space="preserve">『午前中』『PM』『9時頃』を単一時刻へ確定する</x:t>
  </x:si>
  <x:si>
    <x:t xml:space="preserve">原文条件を保持</x:t>
  </x:si>
  <x:si>
    <x:t xml:space="preserve">D008.jpg</x:t>
  </x:si>
  <x:si>
    <x:t xml:space="preserve">D009</x:t>
  </x:si>
  <x:si>
    <x:t xml:space="preserve">運送手配依頼書</x:t>
  </x:si>
  <x:si>
    <x:t xml:space="preserve">多数の赤字・青字追記、地図、時刻修正が混在している。訂正前後・追記・矛盾情報の優先判断を中心に検証する。</x:t>
  </x:si>
  <x:si>
    <x:t xml:space="preserve">D009.jpg</x:t>
  </x:si>
  <x:si>
    <x:t xml:space="preserve">D010</x:t>
  </x:si>
  <x:si>
    <x:t xml:space="preserve">運行依頼書</x:t>
  </x:si>
  <x:si>
    <x:t xml:space="preserve">明瞭な単一積地・単一納品先の標準帳票。明瞭な印字項目の抽出・欄対応を中心に検証する。</x:t>
  </x:si>
  <x:si>
    <x:t xml:space="preserve">D010.jpg</x:t>
  </x:si>
  <x:si>
    <x:t xml:space="preserve">D011</x:t>
  </x:si>
  <x:si>
    <x:t xml:space="preserve">明瞭な表形式の標準印字帳票。明瞭な印字項目の抽出・欄対応を中心に検証する。</x:t>
  </x:si>
  <x:si>
    <x:t xml:space="preserve">D011.jpg</x:t>
  </x:si>
  <x:si>
    <x:t xml:space="preserve">D012</x:t>
  </x:si>
  <x:si>
    <x:t xml:space="preserve">罫線・文字のかすれとFAXノイズがある。かすれ・黒つぶれ・低コントラスト箇所の扱いを中心に検証する。</x:t>
  </x:si>
  <x:si>
    <x:t xml:space="preserve">D012.jpg</x:t>
  </x:si>
  <x:si>
    <x:t xml:space="preserve">D013</x:t>
  </x:si>
  <x:si>
    <x:t xml:space="preserve">禁止情報混在</x:t>
  </x:si>
  <x:si>
    <x:t xml:space="preserve">運賃・支払・金額情報の非転記</x:t>
  </x:si>
  <x:si>
    <x:t xml:space="preserve">禁止情報誤出力0件。運行に必要な情報だけを抽出し、運賃・支払・単価等を配車指示書へ転記しない。</x:t>
  </x:si>
  <x:si>
    <x:t xml:space="preserve">手書き原本に運賃金額・税別表記が明記されている。運賃・支払・金額情報の非転記を中心に検証する。</x:t>
  </x:si>
  <x:si>
    <x:t xml:space="preserve">配車担当＋社内ルール判定者</x:t>
  </x:si>
  <x:si>
    <x:t xml:space="preserve">運賃・受注金額・支払条件などを運送会社向け指示書へ出力する</x:t>
  </x:si>
  <x:si>
    <x:t xml:space="preserve">禁止範囲は運用ルールを優先</x:t>
  </x:si>
  <x:si>
    <x:t xml:space="preserve">D013.jpg</x:t>
  </x:si>
  <x:si>
    <x:t xml:space="preserve">D014</x:t>
  </x:si>
  <x:si>
    <x:t xml:space="preserve">メール・自由文</x:t>
  </x:si>
  <x:si>
    <x:t xml:space="preserve">文章・メール本文からの項目整理</x:t>
  </x:si>
  <x:si>
    <x:t xml:space="preserve">明確な必須情報の抽出漏れ0件、積地・卸地・日時・荷物の誤分類0件。</x:t>
  </x:si>
  <x:si>
    <x:t xml:space="preserve">メール本文が主体で、右余白に簡単な手書き追記がある。文章・メール本文からの項目整理を中心に検証する。</x:t>
  </x:si>
  <x:si>
    <x:t xml:space="preserve">文章中の卸地を積地欄へ入れる／担当・日時の紐付けを崩す</x:t>
  </x:si>
  <x:si>
    <x:t xml:space="preserve">レイアウト非依存</x:t>
  </x:si>
  <x:si>
    <x:t xml:space="preserve">D014.jpg</x:t>
  </x:si>
  <x:si>
    <x:t xml:space="preserve">D015</x:t>
  </x:si>
  <x:si>
    <x:t xml:space="preserve">配車指示書（多地点配送）</x:t>
  </x:si>
  <x:si>
    <x:t xml:space="preserve">積込①②・卸地①②の4地点ルートが表で明示されている。地点・案件の順序と日時・荷物の紐付け保持を中心に検証する。</x:t>
  </x:si>
  <x:si>
    <x:t xml:space="preserve">D015.jpg</x:t>
  </x:si>
  <x:si>
    <x:t xml:space="preserve">D016</x:t>
  </x:si>
  <x:si>
    <x:t xml:space="preserve">貨物輸送手配のお願い</x:t>
  </x:si>
  <x:si>
    <x:t xml:space="preserve">定型表ではなく文章・箇条書きで条件が記載されている。文章・メール本文からの項目整理を中心に検証する。</x:t>
  </x:si>
  <x:si>
    <x:t xml:space="preserve">D016.jpg</x:t>
  </x:si>
  <x:si>
    <x:t xml:space="preserve">D017</x:t>
  </x:si>
  <x:si>
    <x:t xml:space="preserve">FAX原本に赤字で時刻・車種・条件の修正が多数入っている。訂正前後・追記・矛盾情報の優先判断を中心に検証する。</x:t>
  </x:si>
  <x:si>
    <x:t xml:space="preserve">D017.jpg</x:t>
  </x:si>
  <x:si>
    <x:t xml:space="preserve">D018</x:t>
  </x:si>
  <x:si>
    <x:t xml:space="preserve">車両手配依頼書</x:t>
  </x:si>
  <x:si>
    <x:t xml:space="preserve">複数地点の表に時刻・数量・重量・日付の訂正が重ね書きされている。訂正前後・追記・矛盾情報の優先判断を中心に検証する。</x:t>
  </x:si>
  <x:si>
    <x:t xml:space="preserve">D018.jpg</x:t>
  </x:si>
  <x:si>
    <x:t xml:space="preserve">D019</x:t>
  </x:si>
  <x:si>
    <x:t xml:space="preserve">『AM中』『午前中着希望』『9時でもOK』など曖昧な時間条件がある。AM/PM・午前中・頃・まで・以降・時間幅の保持を中心に検証する。</x:t>
  </x:si>
  <x:si>
    <x:t xml:space="preserve">D019.jpg</x:t>
  </x:si>
  <x:si>
    <x:t xml:space="preserve">D020</x:t>
  </x:si>
  <x:si>
    <x:t xml:space="preserve">複合資料・添付情報</x:t>
  </x:si>
  <x:si>
    <x:t xml:space="preserve">運送指示書＋補助資料</x:t>
  </x:si>
  <x:si>
    <x:t xml:space="preserve">本文・写真・地図・付箋・別紙等の複数情報源の統合</x:t>
  </x:si>
  <x:si>
    <x:t xml:space="preserve">運行に必要な追記・付箋・地図情報の見落とし0件。本文との重複・矛盾を整理し、不明な優先関係は要確認。</x:t>
  </x:si>
  <x:si>
    <x:t xml:space="preserve">本文に荷姿写真、付箋、手書きルート図、追記メモが同一紙面で併記されている。本文・写真・地図・付箋・別紙等の複数情報源の統合を中心に検証する。</x:t>
  </x:si>
  <x:si>
    <x:t xml:space="preserve">付箋・地図・添付写真の条件を無視／別情報源の内容を誤って上書き</x:t>
  </x:si>
  <x:si>
    <x:t xml:space="preserve">複数情報源の出所と関係を保つ</x:t>
  </x:si>
  <x:si>
    <x:t xml:space="preserve">D020.jpg</x:t>
  </x:si>
  <x:si>
    <x:t xml:space="preserve">D021</x:t>
  </x:si>
  <x:si>
    <x:t xml:space="preserve">配車依頼書</x:t>
  </x:si>
  <x:si>
    <x:t xml:space="preserve">明瞭な表形式で標準項目が揃っている。明瞭な印字項目の抽出・欄対応を中心に検証する。</x:t>
  </x:si>
  <x:si>
    <x:t xml:space="preserve">D021.jpg</x:t>
  </x:si>
  <x:si>
    <x:t xml:space="preserve">D022</x:t>
  </x:si>
  <x:si>
    <x:t xml:space="preserve">FAX原本に運賃『¥88,000』が明示されている。運賃・支払・金額情報の非転記を中心に検証する。</x:t>
  </x:si>
  <x:si>
    <x:t xml:space="preserve">D022.jpg</x:t>
  </x:si>
  <x:si>
    <x:t xml:space="preserve">D023</x:t>
  </x:si>
  <x:si>
    <x:t xml:space="preserve">運送依頼書（メモ）</x:t>
  </x:si>
  <x:si>
    <x:t xml:space="preserve">手書きの数量が取消線で訂正され、AM着等の追記もある。訂正前後・追記・矛盾情報の優先判断を中心に検証する。</x:t>
  </x:si>
  <x:si>
    <x:t xml:space="preserve">D023.jpg</x:t>
  </x:si>
  <x:si>
    <x:t xml:space="preserve">D024</x:t>
  </x:si>
  <x:si>
    <x:t xml:space="preserve">長文メール本文から条件を抽出する非定型原本。文章・メール本文からの項目整理を中心に検証する。</x:t>
  </x:si>
  <x:si>
    <x:t xml:space="preserve">D024.jpg</x:t>
  </x:si>
  <x:si>
    <x:t xml:space="preserve">D025</x:t>
  </x:si>
  <x:si>
    <x:t xml:space="preserve">運送依頼書（複数地点）</x:t>
  </x:si>
  <x:si>
    <x:t xml:space="preserve">積込①②・卸①②が日付時刻付きで明示されている。地点・案件の順序と日時・荷物の紐付け保持を中心に検証する。</x:t>
  </x:si>
  <x:si>
    <x:t xml:space="preserve">D025.jpg</x:t>
  </x:si>
  <x:si>
    <x:t xml:space="preserve">D026</x:t>
  </x:si>
  <x:si>
    <x:t xml:space="preserve">配送依頼書（スポット便）</x:t>
  </x:si>
  <x:si>
    <x:t xml:space="preserve">時刻選択欄に手書きで『午前中』等の条件指定がある。AM/PM・午前中・頃・まで・以降・時間幅の保持を中心に検証する。</x:t>
  </x:si>
  <x:si>
    <x:t xml:space="preserve">D026.jpg</x:t>
  </x:si>
  <x:si>
    <x:t xml:space="preserve">D027</x:t>
  </x:si>
  <x:si>
    <x:t xml:space="preserve">印字の『15時以降でも可』と付箋の『朝一希望』が併記され優先確認が必要。訂正前後・追記・矛盾情報の優先判断を中心に検証する。</x:t>
  </x:si>
  <x:si>
    <x:t xml:space="preserve">D027.jpg</x:t>
  </x:si>
  <x:si>
    <x:t xml:space="preserve">D028</x:t>
  </x:si>
  <x:si>
    <x:t xml:space="preserve">情報不足・部分資料</x:t>
  </x:si>
  <x:si>
    <x:t xml:space="preserve">欠落・黒塗り・補助資料のみの場合の扱い</x:t>
  </x:si>
  <x:si>
    <x:t xml:space="preserve">不足情報の推測確定0件。欠落・黒塗り・未定は記載なし／要確認として扱い、補助資料から存在しない値を作らない。</x:t>
  </x:si>
  <x:si>
    <x:t xml:space="preserve">重量『未定』、後日連絡、時刻変更など未確定情報が残っている。欠落・黒塗り・補助資料のみの場合の扱いを中心に検証する。</x:t>
  </x:si>
  <x:si>
    <x:t xml:space="preserve">未記載の卸地・連絡先・重量などを推測して入力する</x:t>
  </x:si>
  <x:si>
    <x:t xml:space="preserve">不足を検知して確認へ戻す</x:t>
  </x:si>
  <x:si>
    <x:t xml:space="preserve">D028.jpg</x:t>
  </x:si>
  <x:si>
    <x:t xml:space="preserve">D029</x:t>
  </x:si>
  <x:si>
    <x:t xml:space="preserve">輸送依頼書</x:t>
  </x:si>
  <x:si>
    <x:t xml:space="preserve">受注運賃『¥135,000』と支払条件が帳票内に明記されている。運賃・支払・金額情報の非転記を中心に検証する。</x:t>
  </x:si>
  <x:si>
    <x:t xml:space="preserve">D029.jpg</x:t>
  </x:si>
  <x:si>
    <x:t xml:space="preserve">D030</x:t>
  </x:si>
  <x:si>
    <x:t xml:space="preserve">今回・過去／参考情報併記</x:t>
  </x:si>
  <x:si>
    <x:t xml:space="preserve">運送依頼書（今回／前回比較）</x:t>
  </x:si>
  <x:si>
    <x:t xml:space="preserve">今回情報と過去・参考情報の優先制御</x:t>
  </x:si>
  <x:si>
    <x:t xml:space="preserve">過去・参考値による今回情報の自動上書き0件。今回欄と参考欄を混在させない。</x:t>
  </x:si>
  <x:si>
    <x:t xml:space="preserve">今回依頼の下に前回実績が別枠で併記されている。今回情報と過去・参考情報の優先制御を中心に検証する。</x:t>
  </x:si>
  <x:si>
    <x:t xml:space="preserve">前回担当者・数量・時刻を今回欄へ確定する</x:t>
  </x:si>
  <x:si>
    <x:t xml:space="preserve">今回原本を優先し、過去情報は候補扱い</x:t>
  </x:si>
  <x:si>
    <x:t xml:space="preserve">D030.jpg</x:t>
  </x:si>
  <x:si>
    <x:t xml:space="preserve">D031</x:t>
  </x:si>
  <x:si>
    <x:t xml:space="preserve">配車メモ</x:t>
  </x:si>
  <x:si>
    <x:t xml:space="preserve">『5/12 PM』『14時までに着』という幅・期限表現がある。AM/PM・午前中・頃・まで・以降・時間幅の保持を中心に検証する。</x:t>
  </x:si>
  <x:si>
    <x:t xml:space="preserve">D031.jpg</x:t>
  </x:si>
  <x:si>
    <x:t xml:space="preserve">D032</x:t>
  </x:si>
  <x:si>
    <x:t xml:space="preserve">FAX送信票／配車依頼</x:t>
  </x:si>
  <x:si>
    <x:t xml:space="preserve">FAX形式だが文字・表は鮮明で標準項目抽出が中心。明瞭な印字項目の抽出・欄対応を中心に検証する。</x:t>
  </x:si>
  <x:si>
    <x:t xml:space="preserve">D032.jpg</x:t>
  </x:si>
  <x:si>
    <x:t xml:space="preserve">D033</x:t>
  </x:si>
  <x:si>
    <x:t xml:space="preserve">手書き原本に納品『午前中』指定がある。AM/PM・午前中・頃・まで・以降・時間幅の保持を中心に検証する。</x:t>
  </x:si>
  <x:si>
    <x:t xml:space="preserve">D033.jpg</x:t>
  </x:si>
  <x:si>
    <x:t xml:space="preserve">D034</x:t>
  </x:si>
  <x:si>
    <x:t xml:space="preserve">メール本文の箇条書きから運送条件を整理する形式。文章・メール本文からの項目整理を中心に検証する。</x:t>
  </x:si>
  <x:si>
    <x:t xml:space="preserve">D034.jpg</x:t>
  </x:si>
  <x:si>
    <x:t xml:space="preserve">D035</x:t>
  </x:si>
  <x:si>
    <x:t xml:space="preserve">手書き本文に連絡先付箋が追加されたメモ主体の原本。手書き情報の抽出・構造化を中心に検証する。</x:t>
  </x:si>
  <x:si>
    <x:t xml:space="preserve">D035.jpg</x:t>
  </x:si>
  <x:si>
    <x:t xml:space="preserve">D036</x:t>
  </x:si>
  <x:si>
    <x:t xml:space="preserve">運送依頼書</x:t>
  </x:si>
  <x:si>
    <x:t xml:space="preserve">小型だが明瞭な表形式の印字帳票。明瞭な印字項目の抽出・欄対応を中心に検証する。</x:t>
  </x:si>
  <x:si>
    <x:t xml:space="preserve">D036.jpg</x:t>
  </x:si>
  <x:si>
    <x:t xml:space="preserve">D037</x:t>
  </x:si>
  <x:si>
    <x:t xml:space="preserve">配車依頼（FAX）</x:t>
  </x:si>
  <x:si>
    <x:t xml:space="preserve">黒つぶれ・ノイズ・低コントラストが強いFAX。かすれ・黒つぶれ・低コントラスト箇所の扱いを中心に検証する。</x:t>
  </x:si>
  <x:si>
    <x:t xml:space="preserve">D037.jpg</x:t>
  </x:si>
  <x:si>
    <x:t xml:space="preserve">D038</x:t>
  </x:si>
  <x:si>
    <x:t xml:space="preserve">メッセージ＋位置情報</x:t>
  </x:si>
  <x:si>
    <x:t xml:space="preserve">メッセージ本文と地図位置情報が同一画像に含まれる複合資料。本文・写真・地図・付箋・別紙等の複数情報源の統合を中心に検証する。</x:t>
  </x:si>
  <x:si>
    <x:t xml:space="preserve">D038.jpg</x:t>
  </x:si>
  <x:si>
    <x:t xml:space="preserve">D039</x:t>
  </x:si>
  <x:si>
    <x:t xml:space="preserve">配車依頼メモ</x:t>
  </x:si>
  <x:si>
    <x:t xml:space="preserve">手書きの項目列挙と注意書きから構造化する原本。手書き情報の抽出・構造化を中心に検証する。</x:t>
  </x:si>
  <x:si>
    <x:t xml:space="preserve">D039.jpg</x:t>
  </x:si>
  <x:si>
    <x:t xml:space="preserve">D040</x:t>
  </x:si>
  <x:si>
    <x:t xml:space="preserve">配車ルートメモ</x:t>
  </x:si>
  <x:si>
    <x:t xml:space="preserve">積地→卸地の矢印と荷物条件を手書きで示したメモ。手書き情報の抽出・構造化を中心に検証する。</x:t>
  </x:si>
  <x:si>
    <x:t xml:space="preserve">D040.jpg</x:t>
  </x:si>
  <x:si>
    <x:t xml:space="preserve">D041</x:t>
  </x:si>
  <x:si>
    <x:t xml:space="preserve">汚損・しわ・物理劣化</x:t>
  </x:si>
  <x:si>
    <x:t xml:space="preserve">配送依頼書</x:t>
  </x:si>
  <x:si>
    <x:t xml:space="preserve">汚れ・しわ・破れ・経年劣化がある原本の読取</x:t>
  </x:si>
  <x:si>
    <x:t xml:space="preserve">物理劣化の影響がない明瞭部分の誤読0件。欠損・汚損で読めない箇所の勝手な補完0件。</x:t>
  </x:si>
  <x:si>
    <x:t xml:space="preserve">紙面に強いしわ・破れ・汚れがある印字帳票。汚れ・しわ・破れ・経年劣化がある原本の読取を中心に検証する。</x:t>
  </x:si>
  <x:si>
    <x:t xml:space="preserve">汚れや折れで欠けた文字を推測して確定する</x:t>
  </x:si>
  <x:si>
    <x:t xml:space="preserve">FAXノイズではなく原紙の物理劣化</x:t>
  </x:si>
  <x:si>
    <x:t xml:space="preserve">D041.jpg</x:t>
  </x:si>
  <x:si>
    <x:t xml:space="preserve">D042</x:t>
  </x:si>
  <x:si>
    <x:t xml:space="preserve">積地・卸地・荷物・車種を簡潔に手書きしたメモ。手書き情報の抽出・構造化を中心に検証する。</x:t>
  </x:si>
  <x:si>
    <x:t xml:space="preserve">D042.jpg</x:t>
  </x:si>
  <x:si>
    <x:t xml:space="preserve">D043</x:t>
  </x:si>
  <x:si>
    <x:t xml:space="preserve">FAX送信票／配送手配</x:t>
  </x:si>
  <x:si>
    <x:t xml:space="preserve">FAX形式だが判読性が高い小型定型帳票。明瞭な印字項目の抽出・欄対応を中心に検証する。</x:t>
  </x:si>
  <x:si>
    <x:t xml:space="preserve">D043.jpg</x:t>
  </x:si>
  <x:si>
    <x:t xml:space="preserve">D044</x:t>
  </x:si>
  <x:si>
    <x:t xml:space="preserve">メール本文に希望日『AM指定』があり具体時刻へ変換してはいけない。AM/PM・午前中・頃・まで・以降・時間幅の保持を中心に検証する。</x:t>
  </x:si>
  <x:si>
    <x:t xml:space="preserve">D044.jpg</x:t>
  </x:si>
  <x:si>
    <x:t xml:space="preserve">D045</x:t>
  </x:si>
  <x:si>
    <x:t xml:space="preserve">出荷指示書</x:t>
  </x:si>
  <x:si>
    <x:t xml:space="preserve">大きなシミ・汚れで一部背景が劣化した印字帳票。汚れ・しわ・破れ・経年劣化がある原本の読取を中心に検証する。</x:t>
  </x:si>
  <x:si>
    <x:t xml:space="preserve">D045.jpg</x:t>
  </x:si>
  <x:si>
    <x:t xml:space="preserve">D046</x:t>
  </x:si>
  <x:si>
    <x:t xml:space="preserve">現場搬入図</x:t>
  </x:si>
  <x:si>
    <x:t xml:space="preserve">地図と車両制約のみで、配車の主要項目が揃わない補助資料。欠落・黒塗り・補助資料のみの場合の扱いを中心に検証する。</x:t>
  </x:si>
  <x:si>
    <x:t xml:space="preserve">D046.jpg</x:t>
  </x:si>
  <x:si>
    <x:t xml:space="preserve">D047</x:t>
  </x:si>
  <x:si>
    <x:t xml:space="preserve">工事資材搬入依頼書</x:t>
  </x:si>
  <x:si>
    <x:t xml:space="preserve">明瞭な小型表形式で基本情報が揃っている。明瞭な印字項目の抽出・欄対応を中心に検証する。</x:t>
  </x:si>
  <x:si>
    <x:t xml:space="preserve">D047.jpg</x:t>
  </x:si>
  <x:si>
    <x:t xml:space="preserve">D048</x:t>
  </x:si>
  <x:si>
    <x:t xml:space="preserve">付箋1枚に積卸・荷物・車種・連絡先を手書きした原本。手書き情報の抽出・構造化を中心に検証する。</x:t>
  </x:si>
  <x:si>
    <x:t xml:space="preserve">D048.jpg</x:t>
  </x:si>
  <x:si>
    <x:t xml:space="preserve">D049</x:t>
  </x:si>
  <x:si>
    <x:t xml:space="preserve">配送依頼（FAX）</x:t>
  </x:si>
  <x:si>
    <x:t xml:space="preserve">黒つぶれと走査ノイズが非常に強いFAX。かすれ・黒つぶれ・低コントラスト箇所の扱いを中心に検証する。</x:t>
  </x:si>
  <x:si>
    <x:t xml:space="preserve">D049.jpg</x:t>
  </x:si>
  <x:si>
    <x:t xml:space="preserve">D050</x:t>
  </x:si>
  <x:si>
    <x:t xml:space="preserve">明瞭な印字表で基本項目を抽出する原本。明瞭な印字項目の抽出・欄対応を中心に検証する。</x:t>
  </x:si>
  <x:si>
    <x:t xml:space="preserve">D050.jpg</x:t>
  </x:si>
  <x:si>
    <x:t xml:space="preserve">D051</x:t>
  </x:si>
  <x:si>
    <x:t xml:space="preserve">紙面全体にしわ・折れがあるが印字項目が残る。汚れ・しわ・破れ・経年劣化がある原本の読取を中心に検証する。</x:t>
  </x:si>
  <x:si>
    <x:t xml:space="preserve">D051.jpg</x:t>
  </x:si>
  <x:si>
    <x:t xml:space="preserve">D052</x:t>
  </x:si>
  <x:si>
    <x:t xml:space="preserve">『午前中積込』『16時まで』という時間幅・期限条件がある。AM/PM・午前中・頃・まで・以降・時間幅の保持を中心に検証する。</x:t>
  </x:si>
  <x:si>
    <x:t xml:space="preserve">D052.jpg</x:t>
  </x:si>
  <x:si>
    <x:t xml:space="preserve">D053</x:t>
  </x:si>
  <x:si>
    <x:t xml:space="preserve">運送依頼（FAX）</x:t>
  </x:si>
  <x:si>
    <x:t xml:space="preserve">低コントラスト・黒点・縁ノイズがあるFAX。かすれ・黒つぶれ・低コントラスト箇所の扱いを中心に検証する。</x:t>
  </x:si>
  <x:si>
    <x:t xml:space="preserve">D053.jpg</x:t>
  </x:si>
  <x:si>
    <x:t xml:space="preserve">D054</x:t>
  </x:si>
  <x:si>
    <x:t xml:space="preserve">配車お願いメモ</x:t>
  </x:si>
  <x:si>
    <x:t xml:space="preserve">手書きで時刻・積卸・荷物・車両条件を列挙している。手書き情報の抽出・構造化を中心に検証する。</x:t>
  </x:si>
  <x:si>
    <x:t xml:space="preserve">D054.jpg</x:t>
  </x:si>
  <x:si>
    <x:t xml:space="preserve">D055</x:t>
  </x:si>
  <x:si>
    <x:t xml:space="preserve">特殊輸送条件</x:t>
  </x:si>
  <x:si>
    <x:t xml:space="preserve">配送指示書兼受領書</x:t>
  </x:si>
  <x:si>
    <x:t xml:space="preserve">温度・危険物・精密品・車両制約等の重要条件保持</x:t>
  </x:si>
  <x:si>
    <x:t xml:space="preserve">温度、危険物区分、荷扱い禁止事項、必要車両・装備など安全・品質に関わる条件の欠落0件、意味変更0件。</x:t>
  </x:si>
  <x:si>
    <x:t xml:space="preserve">冷凍品・温度『-20℃』等の品質条件が明記されている。温度・危険物・精密品・車両制約等の重要条件保持を中心に検証する。</x:t>
  </x:si>
  <x:si>
    <x:t xml:space="preserve">温度指定や危険物表示、横倒し禁止、必要装備を落とす／緩和する</x:t>
  </x:si>
  <x:si>
    <x:t xml:space="preserve">安全・品質条件を最優先で保持</x:t>
  </x:si>
  <x:si>
    <x:t xml:space="preserve">D055.jpg</x:t>
  </x:si>
  <x:si>
    <x:t xml:space="preserve">D056</x:t>
  </x:si>
  <x:si>
    <x:t xml:space="preserve">手書きで積卸・荷物・車種・注意事項を記載している。手書き情報の抽出・構造化を中心に検証する。</x:t>
  </x:si>
  <x:si>
    <x:t xml:space="preserve">D056.jpg</x:t>
  </x:si>
  <x:si>
    <x:t xml:space="preserve">D057</x:t>
  </x:si>
  <x:si>
    <x:t xml:space="preserve">運送手配書</x:t>
  </x:si>
  <x:si>
    <x:t xml:space="preserve">印字情報に赤字で『17時必着』等の追加条件が追記されている。訂正前後・追記・矛盾情報の優先判断を中心に検証する。</x:t>
  </x:si>
  <x:si>
    <x:t xml:space="preserve">D057.jpg</x:t>
  </x:si>
  <x:si>
    <x:t xml:space="preserve">D058</x:t>
  </x:si>
  <x:si>
    <x:t xml:space="preserve">配車メモ＋地図</x:t>
  </x:si>
  <x:si>
    <x:t xml:space="preserve">付箋本文と手書きの簡易位置図を合わせて読む必要がある。本文・写真・地図・付箋・別紙等の複数情報源の統合を中心に検証する。</x:t>
  </x:si>
  <x:si>
    <x:t xml:space="preserve">D058.jpg</x:t>
  </x:si>
  <x:si>
    <x:t xml:space="preserve">D059</x:t>
  </x:si>
  <x:si>
    <x:t xml:space="preserve">出荷依頼メール</x:t>
  </x:si>
  <x:si>
    <x:t xml:space="preserve">メール形式の本文内に簡易表で運送条件が記載されている。文章・メール本文からの項目整理を中心に検証する。</x:t>
  </x:si>
  <x:si>
    <x:t xml:space="preserve">D059.jpg</x:t>
  </x:si>
  <x:si>
    <x:t xml:space="preserve">D060</x:t>
  </x:si>
  <x:si>
    <x:t xml:space="preserve">配車連絡書</x:t>
  </x:si>
  <x:si>
    <x:t xml:space="preserve">掲示・保管されたような汚れや端部劣化がある印字表。汚れ・しわ・破れ・経年劣化がある原本の読取を中心に検証する。</x:t>
  </x:si>
  <x:si>
    <x:t xml:space="preserve">D060.jpg</x:t>
  </x:si>
  <x:si>
    <x:t xml:space="preserve">明瞭な表形式の標準依頼票。明瞭な印字項目の抽出・欄対応を中心に検証する。</x:t>
  </x:si>
  <x:si>
    <x:t xml:space="preserve">D061.jpg</x:t>
  </x:si>
  <x:si>
    <x:t xml:space="preserve">FAXノイズと部分的な文字つぶれがある。かすれ・黒つぶれ・低コントラスト箇所の扱いを中心に検証する。</x:t>
  </x:si>
  <x:si>
    <x:t xml:space="preserve">D062.jpg</x:t>
  </x:si>
  <x:si>
    <x:t xml:space="preserve">ノート紙に積卸・荷物・車両条件を手書きした原本。手書き情報の抽出・構造化を中心に検証する。</x:t>
  </x:si>
  <x:si>
    <x:t xml:space="preserve">D063.jpg</x:t>
  </x:si>
  <x:si>
    <x:t xml:space="preserve">冷凍食品、4t冷凍車、温度『-18℃設定』が明記されている。温度・危険物・精密品・車両制約等の重要条件保持を中心に検証する。</x:t>
  </x:si>
  <x:si>
    <x:t xml:space="preserve">D064.jpg</x:t>
  </x:si>
  <x:si>
    <x:t xml:space="preserve">配車依頼</x:t>
  </x:si>
  <x:si>
    <x:t xml:space="preserve">大きな水濡れ・シミがある手書き記入帳票。汚れ・しわ・破れ・経年劣化がある原本の読取を中心に検証する。</x:t>
  </x:si>
  <x:si>
    <x:t xml:space="preserve">D065.jpg</x:t>
  </x:si>
  <x:si>
    <x:t xml:space="preserve">精密機器、横倒厳禁・取扱注意、箱車指定等の重要条件がある。温度・危険物・精密品・車両制約等の重要条件保持を中心に検証する。</x:t>
  </x:si>
  <x:si>
    <x:t xml:space="preserve">D066.jpg</x:t>
  </x:si>
  <x:si>
    <x:t xml:space="preserve">手書き本文に『至急対応』付箋が付いた原本。手書き情報の抽出・構造化を中心に検証する。</x:t>
  </x:si>
  <x:si>
    <x:t xml:space="preserve">D067.jpg</x:t>
  </x:si>
  <x:si>
    <x:t xml:space="preserve">『危険物』表示、消防法該当、ドラム缶等の安全条件がある。温度・危険物・精密品・車両制約等の重要条件保持を中心に検証する。</x:t>
  </x:si>
  <x:si>
    <x:t xml:space="preserve">D068.jpg</x:t>
  </x:si>
  <x:si>
    <x:t xml:space="preserve">積地・車種・日付時刻などに取消線と赤字変更がある。訂正前後・追記・矛盾情報の優先判断を中心に検証する。</x:t>
  </x:si>
  <x:si>
    <x:t xml:space="preserve">D069.jpg</x:t>
  </x:si>
  <x:si>
    <x:t xml:space="preserve">配車依頼（複数件）</x:t>
  </x:si>
  <x:si>
    <x:t xml:space="preserve">2件の積卸・品名・数量・時刻を同一車両で扱う一覧。地点・案件の順序と日時・荷物の紐付け保持を中心に検証する。</x:t>
  </x:si>
  <x:si>
    <x:t xml:space="preserve">D070.jpg</x:t>
  </x:si>
  <x:si>
    <x:t xml:space="preserve">緊急配車メモ</x:t>
  </x:si>
  <x:si>
    <x:t xml:space="preserve">手書きで積込・納品・品目・重量を記した至急メモ。手書き情報の抽出・構造化を中心に検証する。</x:t>
  </x:si>
  <x:si>
    <x:t xml:space="preserve">D071.jpg</x:t>
  </x:si>
  <x:si>
    <x:t xml:space="preserve">明瞭な単一案件の表形式帳票。明瞭な印字項目の抽出・欄対応を中心に検証する。</x:t>
  </x:si>
  <x:si>
    <x:t xml:space="preserve">D072.jpg</x:t>
  </x:si>
  <x:si>
    <x:t xml:space="preserve">送信FAX／配送依頼</x:t>
  </x:si>
  <x:si>
    <x:t xml:space="preserve">FAX形式だが文字が鮮明で基本項目の抽出が中心。明瞭な印字項目の抽出・欄対応を中心に検証する。</x:t>
  </x:si>
  <x:si>
    <x:t xml:space="preserve">D073.jpg</x:t>
  </x:si>
  <x:si>
    <x:t xml:space="preserve">メール本文から積卸・品名・数量・車種・注意事項を整理する。文章・メール本文からの項目整理を中心に検証する。</x:t>
  </x:si>
  <x:si>
    <x:t xml:space="preserve">D074.jpg</x:t>
  </x:si>
  <x:si>
    <x:t xml:space="preserve">ドラム缶、緊急表示、危険物該当有無など取扱条件の保持が重要。温度・危険物・精密品・車両制約等の重要条件保持を中心に検証する。</x:t>
  </x:si>
  <x:si>
    <x:t xml:space="preserve">D075.jpg</x:t>
  </x:si>
  <x:si>
    <x:t xml:space="preserve">輸送依頼文書</x:t>
  </x:si>
  <x:si>
    <x:t xml:space="preserve">表ではなく文章・番号付き項目で運送条件を記載している。文章・メール本文からの項目整理を中心に検証する。</x:t>
  </x:si>
  <x:si>
    <x:t xml:space="preserve">D076.jpg</x:t>
  </x:si>
  <x:si>
    <x:t xml:space="preserve">手書きで積卸時刻・地点・数量・車種条件を記載している。手書き情報の抽出・構造化を中心に検証する。</x:t>
  </x:si>
  <x:si>
    <x:t xml:space="preserve">D077.jpg</x:t>
  </x:si>
  <x:si>
    <x:t xml:space="preserve">納品依頼書</x:t>
  </x:si>
  <x:si>
    <x:t xml:space="preserve">明瞭な表形式で単一案件の基本情報が揃う。明瞭な印字項目の抽出・欄対応を中心に検証する。</x:t>
  </x:si>
  <x:si>
    <x:t xml:space="preserve">D078.jpg</x:t>
  </x:si>
  <x:si>
    <x:t xml:space="preserve">FAX送信／配車依頼</x:t>
  </x:si>
  <x:si>
    <x:t xml:space="preserve">FAXノイズ・汚れ・低コントラストがある。かすれ・黒つぶれ・低コントラスト箇所の扱いを中心に検証する。</x:t>
  </x:si>
  <x:si>
    <x:t xml:space="preserve">D079.jpg</x:t>
  </x:si>
  <x:si>
    <x:t xml:space="preserve">付箋に積卸時刻・荷物・数量・重量・注意事項を手書きしている。手書き情報の抽出・構造化を中心に検証する。</x:t>
  </x:si>
  <x:si>
    <x:t xml:space="preserve">D080.jpg</x:t>
  </x:si>
  <x:si>
    <x:t xml:space="preserve">D081</x:t>
  </x:si>
  <x:si>
    <x:t xml:space="preserve">明瞭な基本項目の表形式帳票。明瞭な印字項目の抽出・欄対応を中心に検証する。</x:t>
  </x:si>
  <x:si>
    <x:t xml:space="preserve">D081.jpg</x:t>
  </x:si>
  <x:si>
    <x:t xml:space="preserve">D082</x:t>
  </x:si>
  <x:si>
    <x:t xml:space="preserve">手書きでAM積込、卸時刻、品名・数量・車種を記載。手書き情報の抽出・構造化を中心に検証する。</x:t>
  </x:si>
  <x:si>
    <x:t xml:space="preserve">D082.jpg</x:t>
  </x:si>
  <x:si>
    <x:t xml:space="preserve">D083</x:t>
  </x:si>
  <x:si>
    <x:t xml:space="preserve">TEL/FAX欄が黒塗りで一部情報が意図的に欠落している。欠落・黒塗り・補助資料のみの場合の扱いを中心に検証する。</x:t>
  </x:si>
  <x:si>
    <x:t xml:space="preserve">D083.jpg</x:t>
  </x:si>
  <x:si>
    <x:t xml:space="preserve">D084</x:t>
  </x:si>
  <x:si>
    <x:t xml:space="preserve">紙面に大きなシミ・経年汚れがある。汚れ・しわ・破れ・経年劣化がある原本の読取を中心に検証する。</x:t>
  </x:si>
  <x:si>
    <x:t xml:space="preserve">D084.jpg</x:t>
  </x:si>
  <x:si>
    <x:t xml:space="preserve">D085</x:t>
  </x:si>
  <x:si>
    <x:t xml:space="preserve">FAX形式だが読みやすく標準抽出が中心。明瞭な印字項目の抽出・欄対応を中心に検証する。</x:t>
  </x:si>
  <x:si>
    <x:t xml:space="preserve">D085.jpg</x:t>
  </x:si>
  <x:si>
    <x:t xml:space="preserve">D086</x:t>
  </x:si>
  <x:si>
    <x:t xml:space="preserve">『午前中必着』という幅を持つ納品条件と積込時刻が併記されている。AM/PM・午前中・頃・まで・以降・時間幅の保持を中心に検証する。</x:t>
  </x:si>
  <x:si>
    <x:t xml:space="preserve">D086.jpg</x:t>
  </x:si>
  <x:si>
    <x:t xml:space="preserve">D087</x:t>
  </x:si>
  <x:si>
    <x:t xml:space="preserve">出荷案内</x:t>
  </x:si>
  <x:si>
    <x:t xml:space="preserve">明瞭な表形式で基本情報と至急表示がある。明瞭な印字項目の抽出・欄対応を中心に検証する。</x:t>
  </x:si>
  <x:si>
    <x:t xml:space="preserve">D087.jpg</x:t>
  </x:si>
  <x:si>
    <x:t xml:space="preserve">D088</x:t>
  </x:si>
  <x:si>
    <x:t xml:space="preserve">T06</x:t>
  </x:si>
  <x:si>
    <x:t xml:space="preserve">手書きメモ（AM指定）</x:t>
  </x:si>
  <x:si>
    <x:t xml:space="preserve">日付に『AM』指定があり具体時刻を推測してはいけない。AM/PM・午前中・頃・まで・以降・時間幅の保持を中心に検証する。</x:t>
  </x:si>
  <x:si>
    <x:t xml:space="preserve">D088.jpg</x:t>
  </x:si>
  <x:si>
    <x:t xml:space="preserve">D089</x:t>
  </x:si>
  <x:si>
    <x:t xml:space="preserve">T12</x:t>
  </x:si>
  <x:si>
    <x:t xml:space="preserve">汚損印字帳票（温度指定）</x:t>
  </x:si>
  <x:si>
    <x:t xml:space="preserve">冷凍品・『-20℃設定』・納品時刻条件があり品質条件保持が重要。温度・危険物・精密品・車両制約等の重要条件保持を中心に検証する。</x:t>
  </x:si>
  <x:si>
    <x:t xml:space="preserve">D089.jpg</x:t>
  </x:si>
  <x:si>
    <x:t xml:space="preserve">D090</x:t>
  </x:si>
  <x:si>
    <x:t xml:space="preserve">T13</x:t>
  </x:si>
  <x:si>
    <x:t xml:space="preserve">手書きメモ＋付箋＋受付票</x:t>
  </x:si>
  <x:si>
    <x:t xml:space="preserve">配車メモ＋補助情報</x:t>
  </x:si>
  <x:si>
    <x:t xml:space="preserve">手書き本文に受付票と連絡付箋が重なり、複数情報源を統合する必要がある。本文・写真・地図・付箋・別紙等の複数情報源の統合を中心に検証する。</x:t>
  </x:si>
  <x:si>
    <x:t xml:space="preserve">D090.jpg</x:t>
  </x:si>
  <x:si>
    <x:t xml:space="preserve">T01〜T13 判定基準（画像基準）</x:t>
  </x:si>
  <x:si>
    <x:t xml:space="preserve">※ シート名は既存参照との互換性維持のため「02_T01-T10判定基準」のままです。</x:t>
  </x:si>
  <x:si>
    <x:t xml:space="preserve">備考</x:t>
  </x:si>
  <x:si>
    <x:t xml:space="preserve">T01</x:t>
  </x:si>
  <x:si>
    <x:t xml:space="preserve">T02</x:t>
  </x:si>
  <x:si>
    <x:t xml:space="preserve">T03</x:t>
  </x:si>
  <x:si>
    <x:t xml:space="preserve">T04</x:t>
  </x:si>
  <x:si>
    <x:t xml:space="preserve">T05</x:t>
  </x:si>
  <x:si>
    <x:t xml:space="preserve">T07</x:t>
  </x:si>
  <x:si>
    <x:t xml:space="preserve">T08</x:t>
  </x:si>
  <x:si>
    <x:t xml:space="preserve">T09</x:t>
  </x:si>
  <x:si>
    <x:t xml:space="preserve">T10</x:t>
  </x:si>
  <x:si>
    <x:t xml:space="preserve">T11</x:t>
  </x:si>
  <x:si>
    <x:t xml:space="preserve">入力・判定ルール</x:t>
  </x:si>
  <x:si>
    <x:t xml:space="preserve">項目</x:t>
  </x:si>
  <x:si>
    <x:t xml:space="preserve">ルール</x:t>
  </x:si>
  <x:si>
    <x:t xml:space="preserve">例</x:t>
  </x:si>
  <x:si>
    <x:t xml:space="preserve">注意</x:t>
  </x:si>
  <x:si>
    <x:t xml:space="preserve">要確認</x:t>
  </x:si>
  <x:si>
    <x:t xml:space="preserve">読めない・曖昧・矛盾・不足は推測せず要確認</x:t>
  </x:si>
  <x:si>
    <x:t xml:space="preserve">電話番号の一部が潰れている→要確認</x:t>
  </x:si>
  <x:si>
    <x:t xml:space="preserve">要確認は失敗ではない</x:t>
  </x:si>
  <x:si>
    <x:t xml:space="preserve">誤読</x:t>
  </x:si>
  <x:si>
    <x:t xml:space="preserve">明確に読める情報を間違えて抽出した件数</x:t>
  </x:si>
  <x:si>
    <x:t xml:space="preserve">9:00を8:00と抽出</x:t>
  </x:si>
  <x:si>
    <x:t xml:space="preserve">0件が望ましい</x:t>
  </x:si>
  <x:si>
    <x:t xml:space="preserve">本来要確認の内容をAIが推測して確定した件数</x:t>
  </x:si>
  <x:si>
    <x:t xml:space="preserve">朝一→8:00</x:t>
  </x:si>
  <x:si>
    <x:t xml:space="preserve">0件を合格条件</x:t>
  </x:si>
  <x:si>
    <x:t xml:space="preserve">傭車先等へ出してはいけない情報を出力した件数</x:t>
  </x:si>
  <x:si>
    <x:t xml:space="preserve">受取運賃を傭車先向けへ表示</x:t>
  </x:si>
  <x:si>
    <x:t xml:space="preserve">総作業時間</x:t>
  </x:si>
  <x:si>
    <x:t xml:space="preserve">AI操作＋人の確認＋修正</x:t>
  </x:si>
  <x:si>
    <x:t xml:space="preserve">2.0+3.0+1.0=6.0分</x:t>
  </x:si>
  <x:si>
    <x:t xml:space="preserve">待ち時間・電話中断は別管理が望ましい</x:t>
  </x:si>
  <x:si>
    <x:t xml:space="preserve">当初は未分類で記録し、件数蓄積後に分類</x:t>
  </x:si>
  <x:si>
    <x:t xml:space="preserve">流用有無、新規入力項目数、実測時間で分類</x:t>
  </x:si>
  <x:si>
    <x:t xml:space="preserve">先に主観で固定しない</x:t>
  </x:si>
  <x:si>
    <x:t xml:space="preserve">T01〜T10判定基準に従う</x:t>
  </x:si>
  <x:si>
    <x:t xml:space="preserve">T02で推測0件かつ不明を要確認→合格</x:t>
  </x:si>
  <x:si>
    <x:t xml:space="preserve">安全項目は1件でもNGあり</x:t>
  </x:si>
  <x:si>
    <x:t xml:space="preserve">依頼を受け、処理を開始する直前の時刻</x:t>
  </x:si>
  <x:si>
    <x:t xml:space="preserve">2026/10/02 15:30:01</x:t>
  </x:si>
  <x:si>
    <x:t xml:space="preserve">取得できない場合は推測せず『時刻取得不可』</x:t>
  </x:si>
  <x:si>
    <x:t xml:space="preserve">画像読込開始／完了時刻</x:t>
  </x:si>
  <x:si>
    <x:t xml:space="preserve">画像読込開始直前と、読込・抽出・要確認判定が完了した時刻</x:t>
  </x:si>
  <x:si>
    <x:t xml:space="preserve">開始 15:30:03／完了 15:30:12</x:t>
  </x:si>
  <x:si>
    <x:t xml:space="preserve">JSTで記録。内部時刻が取得不能なら推測しない</x:t>
  </x:si>
  <x:si>
    <x:t xml:space="preserve">画像読込開始時刻から画像読込完了時刻までの差</x:t>
  </x:si>
  <x:si>
    <x:t xml:space="preserve">9</x:t>
  </x:si>
  <x:si>
    <x:t xml:space="preserve">秒単位。開始・完了のどちらかが取得不能なら空欄</x:t>
  </x:si>
  <x:si>
    <x:t xml:space="preserve">01_指示書読込プロンプトの回答・判定まで含めた処理が完了する直前の時刻</x:t>
  </x:si>
  <x:si>
    <x:t xml:space="preserve">2026/10/02 15:30:15</x:t>
  </x:si>
  <x:si>
    <x:t xml:space="preserve">画像読込完了時刻やPDF出力完了時刻とは分けて記録</x:t>
  </x:si>
  <x:si>
    <x:t xml:space="preserve">読込結果の『記載なしの情報』に分類された項目数</x:t>
  </x:si>
  <x:si>
    <x:t xml:space="preserve">8</x:t>
  </x:si>
  <x:si>
    <x:t xml:space="preserve">項目名だけ数え、内容をこの一覧へ転記しない</x:t>
  </x:si>
  <x:si>
    <x:t xml:space="preserve">読込結果の『矛盾している情報』に分類された項目数</x:t>
  </x:si>
  <x:si>
    <x:t xml:space="preserve">0</x:t>
  </x:si>
  <x:si>
    <x:t xml:space="preserve">矛盾内容そのものは必要に応じ反映メモへ匿名で記載</x:t>
  </x:si>
  <x:si>
    <x:t xml:space="preserve">AIが推測せず、人の確認へ戻した項目数</x:t>
  </x:si>
  <x:si>
    <x:t xml:space="preserve">1</x:t>
  </x:si>
  <x:si>
    <x:t xml:space="preserve">『要確認項目数』と意味が重なる場合も、読込出力の値をそのまま記録</x:t>
  </x:si>
  <x:si>
    <x:t xml:space="preserve">読込結果をテスト結果一覧へ転記した状態</x:t>
  </x:si>
  <x:si>
    <x:t xml:space="preserve">未反映／一部反映／反映済／要確認</x:t>
  </x:si>
  <x:si>
    <x:t xml:space="preserve">手作業・AI反映どちらでも同じ区分を使用</x:t>
  </x:si>
  <x:si>
    <x:t xml:space="preserve">人の判定が必要な項目</x:t>
  </x:si>
  <x:si>
    <x:t xml:space="preserve">誤読、勝手に確定、順序誤り、禁止情報誤出力、合否など</x:t>
  </x:si>
  <x:si>
    <x:t xml:space="preserve">読込結果のみでは空欄</x:t>
  </x:si>
  <x:si>
    <x:t xml:space="preserve">AI自身の読込結果だけから0件・合格と決めない</x:t>
  </x:si>
  <x:si>
    <x:t xml:space="preserve">読込結果をExcelテンプレートへ反映するため、最初のセルへの書き込み・変更を開始する直前の時刻</x:t>
  </x:si>
  <x:si>
    <x:t xml:space="preserve">2026/10/02 15:31:00</x:t>
  </x:si>
  <x:si>
    <x:t xml:space="preserve">テンプレート確認のみの時間は含めない。JSTで記録し、推測しない</x:t>
  </x:si>
  <x:si>
    <x:t xml:space="preserve">Excelへの入力・確認・保存後、PDF生成が完了し、出力ファイルの存在を確認した時刻</x:t>
  </x:si>
  <x:si>
    <x:t xml:space="preserve">2026/10/02 15:31:42</x:t>
  </x:si>
  <x:si>
    <x:t xml:space="preserve">Excel保存時刻ではなくPDF生成完了時刻を使用</x:t>
  </x:si>
  <x:si>
    <x:t xml:space="preserve">Excel書込開始時刻からPDF出力完了時刻までの差</x:t>
  </x:si>
  <x:si>
    <x:t xml:space="preserve">42</x:t>
  </x:si>
  <x:si>
    <x:t xml:space="preserve">開始・完了のどちらかが取得不能なら空欄。画像読込時間を代用しない</x:t>
  </x:si>
  <x:si>
    <x:t xml:space="preserve">事前情報</x:t>
  </x:si>
  <x:si>
    <x:t xml:space="preserve">試験ID（D列）</x:t>
  </x:si>
  <x:si>
    <x:t xml:space="preserve">D001〜D090対応表から事前設定</x:t>
  </x:si>
  <x:si>
    <x:t xml:space="preserve">検証実施時の結果ではなく、テスト計画上の試験ID。原則変更しない。</x:t>
  </x:si>
  <x:si>
    <x:t xml:space="preserve">原本種別（E列）</x:t>
  </x:si>
  <x:si>
    <x:t xml:space="preserve">対応表の媒体／表現を事前設定</x:t>
  </x:si>
  <x:si>
    <x:t xml:space="preserve">一般印字、FAX、全手書き、メール等。</x:t>
  </x:si>
  <x:si>
    <x:t xml:space="preserve">参照情報</x:t>
  </x:si>
  <x:si>
    <x:t xml:space="preserve">AN〜AV列</x:t>
  </x:si>
  <x:si>
    <x:t xml:space="preserve">ケース別の判定ガイド</x:t>
  </x:si>
  <x:si>
    <x:t xml:space="preserve">対象・帳票形式・確認内容・合格条件・検証ポイント等。結果入力欄ではない。</x:t>
  </x:si>
  <x:si>
    <x:t xml:space="preserve">判定</x:t>
  </x:si>
  <x:si>
    <x:t xml:space="preserve">判定者（W列）</x:t>
  </x:si>
  <x:si>
    <x:t xml:space="preserve">実際に判定した人を入力</x:t>
  </x:si>
  <x:si>
    <x:t xml:space="preserve">AS列の推奨判定者は役割の目安。W列には実際の判定者を記録する。</x:t>
  </x:si>
  <x:si>
    <x:t xml:space="preserve">結果入力</x:t>
  </x:si>
  <x:si>
    <x:t xml:space="preserve">Y列 合否</x:t>
  </x:si>
  <x:si>
    <x:t xml:space="preserve">検証完了後に入力</x:t>
  </x:si>
  <x:si>
    <x:t xml:space="preserve">AQ列の合格条件と実測・比較結果を確認して判定。未確認の安全項目がある場合は合格にしない。</x:t>
  </x:si>
  <x:si>
    <x:t xml:space="preserve">媒体／表現</x:t>
  </x:si>
  <x:si>
    <x:t xml:space="preserve">定型印字帳票</x:t>
  </x:si>
  <x:si>
    <x:t xml:space="preserve">劣化FAX</x:t>
  </x:si>
  <x:si>
    <x:t xml:space="preserve">全手書きメモ</x:t>
  </x:si>
  <x:si>
    <x:t xml:space="preserve">メール印刷＋手書き追記</x:t>
  </x:si>
  <x:si>
    <x:t xml:space="preserve">定型印字帳票＋手書き訂正</x:t>
  </x:si>
  <x:si>
    <x:t xml:space="preserve">劣化FAX＋手書き記入</x:t>
  </x:si>
  <x:si>
    <x:t xml:space="preserve">複数地点ルート表（印字）</x:t>
  </x:si>
  <x:si>
    <x:t xml:space="preserve">印字依頼文書</x:t>
  </x:si>
  <x:si>
    <x:t xml:space="preserve">印字帳票＋大量手書き追記</x:t>
  </x:si>
  <x:si>
    <x:t xml:space="preserve">全手書きメモ（金額記載あり）</x:t>
  </x:si>
  <x:si>
    <x:t xml:space="preserve">印字依頼文書（文章形式）</x:t>
  </x:si>
  <x:si>
    <x:t xml:space="preserve">劣化FAX＋赤字訂正</x:t>
  </x:si>
  <x:si>
    <x:t xml:space="preserve">定型帳票＋多地点＋手書き訂正</x:t>
  </x:si>
  <x:si>
    <x:t xml:space="preserve">FAX帳票＋手書き時刻表現</x:t>
  </x:si>
  <x:si>
    <x:t xml:space="preserve">定型印字帳票＋写真・付箋・手書き地図</x:t>
  </x:si>
  <x:si>
    <x:t xml:space="preserve">劣化FAX＋運賃記載</x:t>
  </x:si>
  <x:si>
    <x:t xml:space="preserve">全手書きメモ＋訂正</x:t>
  </x:si>
  <x:si>
    <x:t xml:space="preserve">メール印刷</x:t>
  </x:si>
  <x:si>
    <x:t xml:space="preserve">FAX帳票＋手書き時刻指定</x:t>
  </x:si>
  <x:si>
    <x:t xml:space="preserve">定型印字帳票＋付箋・追記</x:t>
  </x:si>
  <x:si>
    <x:t xml:space="preserve">定型印字帳票＋未確定・追記</x:t>
  </x:si>
  <x:si>
    <x:t xml:space="preserve">定型印字帳票＋運賃・支払情報</x:t>
  </x:si>
  <x:si>
    <x:t xml:space="preserve">今回案件＋前回実績併記帳票</x:t>
  </x:si>
  <x:si>
    <x:t xml:space="preserve">FAX送信票（鮮明）</x:t>
  </x:si>
  <x:si>
    <x:t xml:space="preserve">手書きメモ＋付箋</x:t>
  </x:si>
  <x:si>
    <x:t xml:space="preserve">小型定型印字帳票</x:t>
  </x:si>
  <x:si>
    <x:t xml:space="preserve">チャット／メッセージ画面＋地図</x:t>
  </x:si>
  <x:si>
    <x:t xml:space="preserve">手書き依頼メモ</x:t>
  </x:si>
  <x:si>
    <x:t xml:space="preserve">手書きルートメモ</x:t>
  </x:si>
  <x:si>
    <x:t xml:space="preserve">しわ・破れのある印字帳票</x:t>
  </x:si>
  <x:si>
    <x:t xml:space="preserve">手書きメモ</x:t>
  </x:si>
  <x:si>
    <x:t xml:space="preserve">スマホメール画面</x:t>
  </x:si>
  <x:si>
    <x:t xml:space="preserve">汚損した印字帳票</x:t>
  </x:si>
  <x:si>
    <x:t xml:space="preserve">手書き現場搬入図（補助資料）</x:t>
  </x:si>
  <x:si>
    <x:t xml:space="preserve">付箋手書きメモ</x:t>
  </x:si>
  <x:si>
    <x:t xml:space="preserve">強劣化FAX</x:t>
  </x:si>
  <x:si>
    <x:t xml:space="preserve">しわのある印字帳票</x:t>
  </x:si>
  <x:si>
    <x:t xml:space="preserve">温度指定付き印字帳票</x:t>
  </x:si>
  <x:si>
    <x:t xml:space="preserve">定型印字帳票＋赤字追記</x:t>
  </x:si>
  <x:si>
    <x:t xml:space="preserve">付箋手書きメモ＋簡易地図</x:t>
  </x:si>
  <x:si>
    <x:t xml:space="preserve">メール本文＋表形式</x:t>
  </x:si>
  <x:si>
    <x:t xml:space="preserve">経年汚れのある印字帳票</x:t>
  </x:si>
  <x:si>
    <x:t xml:space="preserve">D061</x:t>
  </x:si>
  <x:si>
    <x:t xml:space="preserve">D062</x:t>
  </x:si>
  <x:si>
    <x:t xml:space="preserve">D063</x:t>
  </x:si>
  <x:si>
    <x:t xml:space="preserve">D064</x:t>
  </x:si>
  <x:si>
    <x:t xml:space="preserve">メール本文（冷凍・温度指定）</x:t>
  </x:si>
  <x:si>
    <x:t xml:space="preserve">D065</x:t>
  </x:si>
  <x:si>
    <x:t xml:space="preserve">汚損した手書き帳票</x:t>
  </x:si>
  <x:si>
    <x:t xml:space="preserve">D066</x:t>
  </x:si>
  <x:si>
    <x:t xml:space="preserve">小型定型印字帳票（精密機器）</x:t>
  </x:si>
  <x:si>
    <x:t xml:space="preserve">D067</x:t>
  </x:si>
  <x:si>
    <x:t xml:space="preserve">D068</x:t>
  </x:si>
  <x:si>
    <x:t xml:space="preserve">危険物表示付き印字帳票</x:t>
  </x:si>
  <x:si>
    <x:t xml:space="preserve">D069</x:t>
  </x:si>
  <x:si>
    <x:t xml:space="preserve">手書き依頼メモ＋訂正</x:t>
  </x:si>
  <x:si>
    <x:t xml:space="preserve">D070</x:t>
  </x:si>
  <x:si>
    <x:t xml:space="preserve">複数案件一覧（印字）</x:t>
  </x:si>
  <x:si>
    <x:t xml:space="preserve">D071</x:t>
  </x:si>
  <x:si>
    <x:t xml:space="preserve">D072</x:t>
  </x:si>
  <x:si>
    <x:t xml:space="preserve">D073</x:t>
  </x:si>
  <x:si>
    <x:t xml:space="preserve">FAX送信文（鮮明）</x:t>
  </x:si>
  <x:si>
    <x:t xml:space="preserve">D074</x:t>
  </x:si>
  <x:si>
    <x:t xml:space="preserve">D075</x:t>
  </x:si>
  <x:si>
    <x:t xml:space="preserve">定型印字帳票（ドラム缶・特殊条件）</x:t>
  </x:si>
  <x:si>
    <x:t xml:space="preserve">D076</x:t>
  </x:si>
  <x:si>
    <x:t xml:space="preserve">D077</x:t>
  </x:si>
  <x:si>
    <x:t xml:space="preserve">D078</x:t>
  </x:si>
  <x:si>
    <x:t xml:space="preserve">D079</x:t>
  </x:si>
  <x:si>
    <x:t xml:space="preserve">D080</x:t>
  </x:si>
  <x:si>
    <x:t xml:space="preserve">定型印字帳票（連絡先黒塗り）</x:t>
  </x:si>
  <x:si>
    <x:t xml:space="preserve">手書きメモ（午前中必着）</x:t>
  </x:si>
  <x:si>
    <x:t xml:space="preserve">ケース数</x:t>
  </x:si>
  <x:si>
    <x:t xml:space="preserve">集計</x:t>
  </x:si>
  <x:si>
    <x:t xml:space="preserve">値</x:t>
  </x:si>
  <x:si>
    <x:t xml:space="preserve">D001、D010、D011、D021、D032、D036、D043、D047、D050、D061、D072、D073、D078、D081、D085、D087</x:t>
  </x:si>
  <x:si>
    <x:t xml:space="preserve">総ケース数</x:t>
  </x:si>
  <x:si>
    <x:t xml:space="preserve">D002、D006、D012、D037、D049、D053、D062、D079</x:t>
  </x:si>
  <x:si>
    <x:t xml:space="preserve">試験ID数</x:t>
  </x:si>
  <x:si>
    <x:t xml:space="preserve">D003、D035、D039、D040、D042、D048、D054、D056、D063、D067、D071、D077、D080、D082</x:t>
  </x:si>
  <x:si>
    <x:t xml:space="preserve">変更ケース数</x:t>
  </x:si>
  <x:si>
    <x:t xml:space="preserve">D014、D016、D024、D034、D059、D074、D076</x:t>
  </x:si>
  <x:si>
    <x:t xml:space="preserve">維持ケース数</x:t>
  </x:si>
  <x:si>
    <x:t xml:space="preserve">D007、D015、D025、D070</x:t>
  </x:si>
  <x:si>
    <x:t xml:space="preserve">分類基準</x:t>
  </x:si>
  <x:si>
    <x:t xml:space="preserve">画像の実態を優先</x:t>
  </x:si>
  <x:si>
    <x:t xml:space="preserve">D008、D019、D026、D031、D033、D044、D052、D086、D088</x:t>
  </x:si>
  <x:si>
    <x:t xml:space="preserve">D004、D005、D009、D017、D018、D023、D027、D057、D069</x:t>
  </x:si>
  <x:si>
    <x:t xml:space="preserve">D028、D046、D083</x:t>
  </x:si>
  <x:si>
    <x:t xml:space="preserve">D013、D022、D029</x:t>
  </x:si>
  <x:si>
    <x:t xml:space="preserve">D041、D045、D051、D060、D065、D084</x:t>
  </x:si>
  <x:si>
    <x:t xml:space="preserve">D055、D064、D066、D068、D075、D089</x:t>
  </x:si>
  <x:si>
    <x:t xml:space="preserve">D020、D038、D058、D090</x:t>
  </x:si>
  <x:si>
    <x:t xml:space="preserve">配車指示書PoC 一括実行セット</x:t>
  </x:si>
  <x:si>
    <x:t xml:space="preserve">目的</x:t>
  </x:si>
  <x:si>
    <x:t xml:space="preserve">添付回数を減らし、原本読込 → 指示書作成 → PDF出力 → テスト結果記録までを1回の指示で実行するためのマスターブックです。</x:t>
  </x:si>
  <x:si>
    <x:t xml:space="preserve">毎回必要なもの</x:t>
  </x:si>
  <x:si>
    <x:t xml:space="preserve">①このExcel ②対象のテスト画像1枚（D001.jpg等）。同じチャット内に全90件ZIPを一度添付済みなら、その後はケースID指定だけで進められます。</x:t>
  </x:si>
  <x:si>
    <x:t xml:space="preserve">ユーザーの指示例</x:t>
  </x:si>
  <x:si>
    <x:t xml:space="preserve">D001を一括テストしてください</x:t>
  </x:si>
  <x:si>
    <x:t xml:space="preserve">AIが参照するシート</x:t>
  </x:si>
  <x:si>
    <x:t xml:space="preserve">Sheet1＝配車指示書テンプレート／00_PoC一括実行＝実行ルール／01_テスト結果一覧＝記録先／02_T01-T10判定基準＝画像基準で再設計したT01〜T13合否基準／05_ケース別テスト対応＝画像実態に基づくケース設定／07_画像基準再分類_変更一覧＝旧→新の対応表</x:t>
  </x:si>
  <x:si>
    <x:t xml:space="preserve">重要</x:t>
  </x:si>
  <x:si>
    <x:t xml:space="preserve">Sheet1は原本テンプレートとして保持し、直接上書きしない。生成する指示書は別ファイルとして出力する。</x:t>
  </x:si>
  <x:si>
    <x:t xml:space="preserve">結果一覧</x:t>
  </x:si>
  <x:si>
    <x:t xml:space="preserve">ケースIDが一致する行だけ更新する。D/Eおよび判定基準列は、画像実態に基づき再分類済みの05_ケース別テスト対応を参照する。未測定は0にしない。人が判断すべき項目は空欄または要確認のまま残す。</x:t>
  </x:si>
  <x:si>
    <x:t xml:space="preserve">禁止情報</x:t>
  </x:si>
  <x:si>
    <x:t xml:space="preserve">荷主ヘッダー・荷主住所・荷主FAX・荷主側担当者・運賃・売上・仕入・支払・単価等は、傭車先向け配車指示書へ転記しない。</x:t>
  </x:si>
  <x:si>
    <x:t xml:space="preserve">おすすめ運用</x:t>
  </x:si>
  <x:si>
    <x:t xml:space="preserve">最初にこのExcelとD001-D090画像ZIPを1回だけ添付し、以後は『D001を一括テスト』『次はD002』のようにケースIDだけ指定する。</x:t>
  </x:si>
  <x:si>
    <x:t xml:space="preserve">00_PoC一括実行プロンプト</x:t>
  </x:si>
  <x:si>
    <x:t xml:space="preserve">【目的】</x:t>
  </x:si>
  <x:si>
    <x:t xml:space="preserve">対象ケース1件について、原本画像の読込、構造化、配車指示書Excel/PDF生成、原本との比較評価、テスト結果一覧への記録を連続して実行してください。</x:t>
  </x:si>
  <x:si>
    <x:t xml:space="preserve">【入力】</x:t>
  </x:si>
  <x:si>
    <x:t xml:space="preserve">- このExcelブック</x:t>
  </x:si>
  <x:si>
    <x:t xml:space="preserve">- 対象ケース画像（D001.jpg等）。同じチャット内にD001-D090画像ZIPが既にある場合は、指定ケースIDの画像をZIPから使用してよい。</x:t>
  </x:si>
  <x:si>
    <x:t xml:space="preserve">- ユーザーが指定したケースID</x:t>
  </x:si>
  <x:si>
    <x:t xml:space="preserve">【最初に行うこと】</x:t>
  </x:si>
  <x:si>
    <x:t xml:space="preserve">1. ケースIDを確認する。</x:t>
  </x:si>
  <x:si>
    <x:t xml:space="preserve">2. 「05_ケース別テスト対応」で同じケースIDの行を確認し、画像実態に基づき再分類済みの試験ID、対象、媒体／表現、帳票／形式、主な確認内容、合格条件、このケースの検証ポイントを取得する。</x:t>
  </x:si>
  <x:si>
    <x:t xml:space="preserve">3. ケースIDが見つからない場合は処理を止め、『対象ケースなし』と報告する。</x:t>
  </x:si>
  <x:si>
    <x:t xml:space="preserve">4. 他ケースの情報を混ぜない。過去ケースの値を今回へ流用しない。</x:t>
  </x:si>
  <x:si>
    <x:t xml:space="preserve">＝＝＝＝ STEP1：原本画像の読込・構造化 ＝＝＝＝</x:t>
  </x:si>
  <x:si>
    <x:t xml:space="preserve">画像に書かれている情報だけを使用し、以下を抽出する。</x:t>
  </x:si>
  <x:si>
    <x:t xml:space="preserve">読みにくい、潰れ、手書きで判読不能、判断に迷う、矛盾する場合は推測せず『要確認』。</x:t>
  </x:si>
  <x:si>
    <x:t xml:space="preserve">記載されていない情報は『記載なし』。過去案件や一般知識から補完しない。</x:t>
  </x:si>
  <x:si>
    <x:t xml:space="preserve">複数積地・卸地は原本の順番を保持する。</x:t>
  </x:si>
  <x:si>
    <x:t xml:space="preserve">『朝一』『午後一』『午前中』『○時頃』『○時まで』『○時以降』などは原文条件を保持し、具体的な時刻へ勝手に変換しない。</x:t>
  </x:si>
  <x:si>
    <x:t xml:space="preserve">【固定抽出項目】</x:t>
  </x:si>
  <x:si>
    <x:t xml:space="preserve">1. 荷主会社名</x:t>
  </x:si>
  <x:si>
    <x:t xml:space="preserve">2. 荷主住所</x:t>
  </x:si>
  <x:si>
    <x:t xml:space="preserve">3. 荷主FAX番号</x:t>
  </x:si>
  <x:si>
    <x:t xml:space="preserve">4. 積日</x:t>
  </x:si>
  <x:si>
    <x:t xml:space="preserve">5. 積時間</x:t>
  </x:si>
  <x:si>
    <x:t xml:space="preserve">6. 積地住所</x:t>
  </x:si>
  <x:si>
    <x:t xml:space="preserve">7. 積地建物名称</x:t>
  </x:si>
  <x:si>
    <x:t xml:space="preserve">8. 積地担当者</x:t>
  </x:si>
  <x:si>
    <x:t xml:space="preserve">9. 積地電話番号</x:t>
  </x:si>
  <x:si>
    <x:t xml:space="preserve">10. 卸日</x:t>
  </x:si>
  <x:si>
    <x:t xml:space="preserve">11. 卸時間</x:t>
  </x:si>
  <x:si>
    <x:t xml:space="preserve">12. 卸地住所</x:t>
  </x:si>
  <x:si>
    <x:t xml:space="preserve">13. 卸地建物名称</x:t>
  </x:si>
  <x:si>
    <x:t xml:space="preserve">14. 卸地担当者</x:t>
  </x:si>
  <x:si>
    <x:t xml:space="preserve">15. 卸地電話番号</x:t>
  </x:si>
  <x:si>
    <x:t xml:space="preserve">16. 運賃</x:t>
  </x:si>
  <x:si>
    <x:t xml:space="preserve">17. 荷物内容</x:t>
  </x:si>
  <x:si>
    <x:t xml:space="preserve">18. 荷物の詳細</x:t>
  </x:si>
  <x:si>
    <x:t xml:space="preserve">19. 装備品</x:t>
  </x:si>
  <x:si>
    <x:t xml:space="preserve">20. 注意事項</x:t>
  </x:si>
  <x:si>
    <x:t xml:space="preserve">21. 積地・卸地の順番</x:t>
  </x:si>
  <x:si>
    <x:t xml:space="preserve">【STEP1 判定集計】</x:t>
  </x:si>
  <x:si>
    <x:t xml:space="preserve">- そのまま使用できる情報</x:t>
  </x:si>
  <x:si>
    <x:t xml:space="preserve">- 要確認の情報</x:t>
  </x:si>
  <x:si>
    <x:t xml:space="preserve">- 記載なしの情報</x:t>
  </x:si>
  <x:si>
    <x:t xml:space="preserve">- 矛盾している情報</x:t>
  </x:si>
  <x:si>
    <x:t xml:space="preserve">- AIが判断せず人に確認を戻した項目数</x:t>
  </x:si>
  <x:si>
    <x:t xml:space="preserve">- 明確に読み取れた項目数</x:t>
  </x:si>
  <x:si>
    <x:t xml:space="preserve">【STEP1 処理時間】</x:t>
  </x:si>
  <x:si>
    <x:t xml:space="preserve">可能な場合のみ、処理開始時刻、画像読込開始時刻、画像読込完了時刻、画像読込所要時間(秒)、処理完了時刻を実測して記録する。</x:t>
  </x:si>
  <x:si>
    <x:t xml:space="preserve">日本時間（JST）YYYY/MM/DD HH:MM:SS。正確な時刻を取得できない場合は『時刻取得不可』とし、推測しない。</x:t>
  </x:si>
  <x:si>
    <x:t xml:space="preserve">＝＝＝＝ STEP2：配車指示書の生成 ＝＝＝＝</x:t>
  </x:si>
  <x:si>
    <x:t xml:space="preserve">このブックの「Sheet1」を配車指示書テンプレートとして使用する。ただしSheet1自体は原本テンプレートとして保持し、直接上書きしない。</x:t>
  </x:si>
  <x:si>
    <x:t xml:space="preserve">STEP1で『そのまま使用できる情報』と判定した値だけを入力対象にする。要確認、記載なし、矛盾は確定入力しない。</x:t>
  </x:si>
  <x:si>
    <x:t xml:space="preserve">テンプレートの罫線、セル結合、列幅、行高、色、フォント、数式、印刷設定、ページ設定、レイアウトを可能な限り維持する。</x:t>
  </x:si>
  <x:si>
    <x:t xml:space="preserve">入力先が複数考えられる、意味が明確に一致しない、欄が足りない場合は勝手に配置・省略せず要確認。</x:t>
  </x:si>
  <x:si>
    <x:t xml:space="preserve">【配車指示書への入力禁止情報】</x:t>
  </x:si>
  <x:si>
    <x:t xml:space="preserve">以下は原本やSTEP1結果に存在しても、傭車先・運送会社向け指示書へ絶対に転記しない。</x:t>
  </x:si>
  <x:si>
    <x:t xml:space="preserve">- 荷主会社名、荷主住所、荷主FAX番号、荷主側担当者情報</x:t>
  </x:si>
  <x:si>
    <x:t xml:space="preserve">- 運賃、売上、仕入金額、支払金額、単価、その他すべての料金・金額情報</x:t>
  </x:si>
  <x:si>
    <x:t xml:space="preserve">※積地・卸地として必要な会社名、施設名、住所、現地担当者、現地電話番号は入力対象。荷主情報と現場情報を混同しない。</x:t>
  </x:si>
  <x:si>
    <x:t xml:space="preserve">【主な入力対応】</x:t>
  </x:si>
  <x:si>
    <x:t xml:space="preserve">積日→積日/積込日/引取日等の明確な日付欄</x:t>
  </x:si>
  <x:si>
    <x:t xml:space="preserve">積時間→積時間/積込時間/引取時間等。条件語を保持</x:t>
  </x:si>
  <x:si>
    <x:t xml:space="preserve">積地住所→積地/集荷先/引取先/発地/搬出元等の住所欄</x:t>
  </x:si>
  <x:si>
    <x:t xml:space="preserve">積地建物名称→積地名/会社名/施設名等</x:t>
  </x:si>
  <x:si>
    <x:t xml:space="preserve">積地担当者・電話→対応する現地担当者/TEL欄</x:t>
  </x:si>
  <x:si>
    <x:t xml:space="preserve">卸日→卸日/納品日/届け日等</x:t>
  </x:si>
  <x:si>
    <x:t xml:space="preserve">卸時間→卸時間/納品時間/着指定等。条件語を保持</x:t>
  </x:si>
  <x:si>
    <x:t xml:space="preserve">卸地住所→卸地/納品先/届け先/着地/搬入先等の住所欄</x:t>
  </x:si>
  <x:si>
    <x:t xml:space="preserve">卸地建物名称→卸地名/納品先名/施設名等</x:t>
  </x:si>
  <x:si>
    <x:t xml:space="preserve">卸地担当者・電話→対応する現地担当者/TEL欄</x:t>
  </x:si>
  <x:si>
    <x:t xml:space="preserve">荷物内容→品名/荷名/商品/積荷/貨物内容等</x:t>
  </x:si>
  <x:si>
    <x:t xml:space="preserve">荷物の詳細→数量・荷姿・重量・車種・台数等。専用欄との対応が明確な場合のみ分割</x:t>
  </x:si>
  <x:si>
    <x:t xml:space="preserve">装備品→装備/必要装備/車両装備等</x:t>
  </x:si>
  <x:si>
    <x:t xml:space="preserve">注意事項→備考/連絡事項/注意事項/特記事項等</x:t>
  </x:si>
  <x:si>
    <x:t xml:space="preserve">積地・卸地の順番→複数地点の配置順序に使用。順番を不要なセルへ文字列として転記しない</x:t>
  </x:si>
  <x:si>
    <x:t xml:space="preserve">【複数地点】</x:t>
  </x:si>
  <x:si>
    <x:t xml:space="preserve">地点の順番、日付、時間、住所、建物名、担当者、電話、荷物の紐付けを崩さない。</x:t>
  </x:si>
  <x:si>
    <x:t xml:space="preserve">地点間で情報を移動しない。</x:t>
  </x:si>
  <x:si>
    <x:t xml:space="preserve">【過去案件】</x:t>
  </x:si>
  <x:si>
    <x:t xml:space="preserve">過去情報は候補扱いのみ。今回原本・今回の口頭情報を優先し、過去担当者、数量、時間、住所等で自動上書きしない。</x:t>
  </x:si>
  <x:si>
    <x:t xml:space="preserve">【STEP2 出力】</x:t>
  </x:si>
  <x:si>
    <x:t xml:space="preserve">- DXXX_配車指示書.xlsx</x:t>
  </x:si>
  <x:si>
    <x:t xml:space="preserve">- DXXX_配車指示書.pdf</x:t>
  </x:si>
  <x:si>
    <x:t xml:space="preserve">Excel書込開始時刻、PDF出力完了時刻、Excel書込・PDF出力所要時間(秒)を正確に取得できる場合のみ記録する。推測禁止。</x:t>
  </x:si>
  <x:si>
    <x:t xml:space="preserve">＝＝＝＝ STEP3：原本・読込結果・生成指示書の比較評価 ＝＝＝＝</x:t>
  </x:si>
  <x:si>
    <x:t xml:space="preserve">原本画像、STEP1読込結果、STEP2生成指示書を比較する。</x:t>
  </x:si>
  <x:si>
    <x:t xml:space="preserve">『02_T01-T10判定基準』（内容は画像基準で再設計したT01〜T13）および『05_ケース別テスト対応』の当該ケースの合格条件・検証ポイントに従う。</x:t>
  </x:si>
  <x:si>
    <x:t xml:space="preserve">以下を客観的に判定できる場合だけ数える。未確認を0として扱わない。</x:t>
  </x:si>
  <x:si>
    <x:t xml:space="preserve">- 誤読件数</x:t>
  </x:si>
  <x:si>
    <x:t xml:space="preserve">- 勝手に確定した件数</x:t>
  </x:si>
  <x:si>
    <x:t xml:space="preserve">- 積地・卸地順序誤り件数</x:t>
  </x:si>
  <x:si>
    <x:t xml:space="preserve">- 禁止情報誤出力件数</x:t>
  </x:si>
  <x:si>
    <x:t xml:space="preserve">- テンプレート自動入力の成否</x:t>
  </x:si>
  <x:si>
    <x:t xml:space="preserve">＝＝＝＝ STEP4：01_テスト結果一覧へ記録 ＝＝＝＝</x:t>
  </x:si>
  <x:si>
    <x:t xml:space="preserve">C列ケースIDが対象ケースIDと一致する行だけ更新する。別ケースを更新しない。新しい行を勝手に作らない。</x:t>
  </x:si>
  <x:si>
    <x:t xml:space="preserve">既存値と今回値が異なる場合は勝手に上書きせず、読込結果反映状況を『要確認』として理由を反映メモへ記載する。</x:t>
  </x:si>
  <x:si>
    <x:t xml:space="preserve">未測定と0は区別する。未測定は空欄。実際に0件・0分の場合のみ0。</x:t>
  </x:si>
  <x:si>
    <x:t xml:space="preserve">【自動反映してよい主な列】</x:t>
  </x:si>
  <x:si>
    <x:t xml:space="preserve">D 試験ID：05_ケース別テスト対応の画像基準再分類値を使用</x:t>
  </x:si>
  <x:si>
    <x:t xml:space="preserve">E 原本種別：05_ケース別テスト対応の画像基準再分類済み媒体／表現を使用</x:t>
  </x:si>
  <x:si>
    <x:t xml:space="preserve">O 明確に読取れた項目数</x:t>
  </x:si>
  <x:si>
    <x:t xml:space="preserve">P 要確認項目数</x:t>
  </x:si>
  <x:si>
    <x:t xml:space="preserve">Q 誤読件数：原本比較で明確に判定できる場合のみ</x:t>
  </x:si>
  <x:si>
    <x:t xml:space="preserve">R 勝手に確定した件数：原本比較で明確に判定できる場合のみ</x:t>
  </x:si>
  <x:si>
    <x:t xml:space="preserve">S 積地・卸地順序誤り件数：複数地点を比較できる場合のみ</x:t>
  </x:si>
  <x:si>
    <x:t xml:space="preserve">T 禁止情報誤出力件数：生成Excel/PDFを実際に確認した場合のみ</x:t>
  </x:si>
  <x:si>
    <x:t xml:space="preserve">U テンプレート自動入力：生成結果を確認して記録</x:t>
  </x:si>
  <x:si>
    <x:t xml:space="preserve">Z 確認メモ：匿名化した内容だけ</x:t>
  </x:si>
  <x:si>
    <x:t xml:space="preserve">AA 処理開始時刻</x:t>
  </x:si>
  <x:si>
    <x:t xml:space="preserve">AB 画像読込開始時刻</x:t>
  </x:si>
  <x:si>
    <x:t xml:space="preserve">AC 画像読込完了時刻</x:t>
  </x:si>
  <x:si>
    <x:t xml:space="preserve">AD 画像読込所要時間(秒)</x:t>
  </x:si>
  <x:si>
    <x:t xml:space="preserve">AE 処理完了時刻</x:t>
  </x:si>
  <x:si>
    <x:t xml:space="preserve">AF Excel書込開始時刻</x:t>
  </x:si>
  <x:si>
    <x:t xml:space="preserve">AG PDF出力完了時刻</x:t>
  </x:si>
  <x:si>
    <x:t xml:space="preserve">AH Excel書込・PDF出力所要時間(秒)</x:t>
  </x:si>
  <x:si>
    <x:t xml:space="preserve">AI 記載なし項目数</x:t>
  </x:si>
  <x:si>
    <x:t xml:space="preserve">AJ 矛盾項目数</x:t>
  </x:si>
  <x:si>
    <x:t xml:space="preserve">AK AIが人に確認を戻した項目数</x:t>
  </x:si>
  <x:si>
    <x:t xml:space="preserve">AL 読込結果反映状況：未反映/一部反映/反映済/要確認</x:t>
  </x:si>
  <x:si>
    <x:t xml:space="preserve">AM 読込結果反映メモ</x:t>
  </x:si>
  <x:si>
    <x:t xml:space="preserve">【AIだけで勝手に確定しない列】</x:t>
  </x:si>
  <x:si>
    <x:t xml:space="preserve">L 人の確認時間、M 修正時間、V 修正内容、W 判定者、X 配車担当確認、Y 最終合否。</x:t>
  </x:si>
  <x:si>
    <x:t xml:space="preserve">これらは人の実測・確認が提供された場合のみ入力する。</x:t>
  </x:si>
  <x:si>
    <x:t xml:space="preserve">ただし、原本・出力物・当該試験基準をすべて比較でき、ユーザー運用上AI判定を許可している場合でも、安全項目が未確認なら最終合格にしない。</x:t>
  </x:si>
  <x:si>
    <x:t xml:space="preserve">【テスト結果一覧へ記載しない具体情報】</x:t>
  </x:si>
  <x:si>
    <x:t xml:space="preserve">具体的な荷主会社名、積地・卸地会社名、詳細住所、電話/FAX、運賃・金額、実商品名など案件を特定できる内容は記載しない。件数・時間・判定・匿名化メモだけを記録する。</x:t>
  </x:si>
  <x:si>
    <x:t xml:space="preserve">＝＝＝＝ 最終チェック ＝＝＝＝</x:t>
  </x:si>
  <x:si>
    <x:t xml:space="preserve">1. 要確認情報を確定入力していないか</x:t>
  </x:si>
  <x:si>
    <x:t xml:space="preserve">2. 記載なしを補完していないか</x:t>
  </x:si>
  <x:si>
    <x:t xml:space="preserve">3. 条件語を削除・具体化していないか</x:t>
  </x:si>
  <x:si>
    <x:t xml:space="preserve">4. 複数地点の順番・日時紐付けが保持されているか</x:t>
  </x:si>
  <x:si>
    <x:t xml:space="preserve">5. 荷主情報・金額情報が配車指示書へ出ていないか</x:t>
  </x:si>
  <x:si>
    <x:t xml:space="preserve">6. 過去案件情報で今回情報を上書きしていないか</x:t>
  </x:si>
  <x:si>
    <x:t xml:space="preserve">7. テスト結果一覧の対象ケース行以外を変更していないか</x:t>
  </x:si>
  <x:si>
    <x:t xml:space="preserve">8. 未測定を0にしていないか</x:t>
  </x:si>
  <x:si>
    <x:t xml:space="preserve">【処理後にユーザーへ報告】</x:t>
  </x:si>
  <x:si>
    <x:t xml:space="preserve">- 対象ケースID／試験ID</x:t>
  </x:si>
  <x:si>
    <x:t xml:space="preserve">- 読込結果の要確認項目数</x:t>
  </x:si>
  <x:si>
    <x:t xml:space="preserve">- 配車指示書生成：成功／要確認</x:t>
  </x:si>
  <x:si>
    <x:t xml:space="preserve">- 禁止情報誤出力：0件／要確認</x:t>
  </x:si>
  <x:si>
    <x:t xml:space="preserve">- テスト結果一覧更新：成功／要確認</x:t>
  </x:si>
  <x:si>
    <x:t xml:space="preserve">- 人の確認が必要な項目</x:t>
  </x:si>
  <x:si>
    <x:t xml:space="preserve">- 作成したファイルへのリンク</x:t>
  </x:si>
  <x:si>
    <x:t xml:space="preserve">旧試験ID</x:t>
  </x:si>
  <x:si>
    <x:t xml:space="preserve">旧原本種別</x:t>
  </x:si>
  <x:si>
    <x:t xml:space="preserve">新試験ID</x:t>
  </x:si>
  <x:si>
    <x:t xml:space="preserve">新対象</x:t>
  </x:si>
  <x:si>
    <x:t xml:space="preserve">新原本種別</x:t>
  </x:si>
  <x:si>
    <x:t xml:space="preserve">変更理由／画像上の根拠</x:t>
  </x:si>
  <x:si>
    <x:t xml:space="preserve">新主な確認内容</x:t>
  </x:si>
  <x:si>
    <x:t xml:space="preserve">新合格条件</x:t>
  </x:si>
  <x:si>
    <x:t xml:space="preserve">変更判定</x:t>
  </x:si>
  <x:si>
    <x:t xml:space="preserve">一般印字</x:t>
  </x:si>
  <x:si>
    <x:t xml:space="preserve">表形式で明瞭な標準帳票</x:t>
  </x:si>
  <x:si>
    <x:t xml:space="preserve">黒つぶれ・かすれ・走査ノイズが目立つFAX</x:t>
  </x:si>
  <x:si>
    <x:t xml:space="preserve">全手書き</x:t>
  </x:si>
  <x:si>
    <x:t xml:space="preserve">紙面全体が手書きで、吹き出し状の追記もある</x:t>
  </x:si>
  <x:si>
    <x:t xml:space="preserve">メール</x:t>
  </x:si>
  <x:si>
    <x:t xml:space="preserve">メール本文に手書きの時刻・連絡注意等が追加されている</x:t>
  </x:si>
  <x:si>
    <x:t xml:space="preserve">複数地点帳票</x:t>
  </x:si>
  <x:si>
    <x:t xml:space="preserve">積込時刻・数量などに手書き訂正が入っている</x:t>
  </x:si>
  <x:si>
    <x:t xml:space="preserve">FAX＋手書き追記</x:t>
  </x:si>
  <x:si>
    <x:t xml:space="preserve">FAXノイズが強く、手書き記入欄も混在している</x:t>
  </x:si>
  <x:si>
    <x:t xml:space="preserve">印字＋付箋・追記</x:t>
  </x:si>
  <x:si>
    <x:t xml:space="preserve">積込2地点・荷卸2地点が順序付きで記載されている</x:t>
  </x:si>
  <x:si>
    <x:t xml:space="preserve">手書き＋未確定</x:t>
  </x:si>
  <x:si>
    <x:t xml:space="preserve">『午前9時頃』『午前中』『午後2時まで』等の幅を持つ時刻表現がある</x:t>
  </x:si>
  <x:si>
    <x:t xml:space="preserve">FAX帳票</x:t>
  </x:si>
  <x:si>
    <x:t xml:space="preserve">多数の赤字・青字追記、地図、時刻修正が混在している</x:t>
  </x:si>
  <x:si>
    <x:t xml:space="preserve">今回/前回比較</x:t>
  </x:si>
  <x:si>
    <x:t xml:space="preserve">明瞭な単一積地・単一納品先の標準帳票</x:t>
  </x:si>
  <x:si>
    <x:t xml:space="preserve">明瞭な表形式の標準印字帳票</x:t>
  </x:si>
  <x:si>
    <x:t xml:space="preserve">罫線・文字のかすれとFAXノイズがある</x:t>
  </x:si>
  <x:si>
    <x:t xml:space="preserve">手書き原本に運賃金額・税別表記が明記されている</x:t>
  </x:si>
  <x:si>
    <x:t xml:space="preserve">メール本文が主体で、右余白に簡単な手書き追記がある</x:t>
  </x:si>
  <x:si>
    <x:t xml:space="preserve">複数地点表</x:t>
  </x:si>
  <x:si>
    <x:t xml:space="preserve">積込①②・卸地①②の4地点ルートが表で明示されている</x:t>
  </x:si>
  <x:si>
    <x:t xml:space="preserve">印字帳票</x:t>
  </x:si>
  <x:si>
    <x:t xml:space="preserve">定型表ではなく文章・箇条書きで条件が記載されている</x:t>
  </x:si>
  <x:si>
    <x:t xml:space="preserve">印字＋追記</x:t>
  </x:si>
  <x:si>
    <x:t xml:space="preserve">FAX原本に赤字で時刻・車種・条件の修正が多数入っている</x:t>
  </x:si>
  <x:si>
    <x:t xml:space="preserve">複数地点の表に時刻・数量・重量・日付の訂正が重ね書きされている</x:t>
  </x:si>
  <x:si>
    <x:t xml:space="preserve">見積兼手配書</x:t>
  </x:si>
  <x:si>
    <x:t xml:space="preserve">『AM中』『午前中着希望』『9時でもOK』など曖昧な時間条件がある</x:t>
  </x:si>
  <x:si>
    <x:t xml:space="preserve">比較票</x:t>
  </x:si>
  <x:si>
    <x:t xml:space="preserve">本文に荷姿写真、付箋、手書きルート図、追記メモが同一紙面で併記されている</x:t>
  </x:si>
  <x:si>
    <x:t xml:space="preserve">明瞭な表形式で標準項目が揃っている</x:t>
  </x:si>
  <x:si>
    <x:t xml:space="preserve">FAX原本に運賃『¥88,000』が明示されている</x:t>
  </x:si>
  <x:si>
    <x:t xml:space="preserve">手書きの数量が取消線で訂正され、AM着等の追記もある</x:t>
  </x:si>
  <x:si>
    <x:t xml:space="preserve">自由文FAX</x:t>
  </x:si>
  <x:si>
    <x:t xml:space="preserve">長文メール本文から条件を抽出する非定型原本</x:t>
  </x:si>
  <x:si>
    <x:t xml:space="preserve">積込①②・卸①②が日付時刻付きで明示されている</x:t>
  </x:si>
  <x:si>
    <x:t xml:space="preserve">条件付き帳票</x:t>
  </x:si>
  <x:si>
    <x:t xml:space="preserve">時刻選択欄に手書きで『午前中』等の条件指定がある</x:t>
  </x:si>
  <x:si>
    <x:t xml:space="preserve">矛盾追記付き</x:t>
  </x:si>
  <x:si>
    <x:t xml:space="preserve">印字の『15時以降でも可』と付箋の『朝一希望』が併記され優先確認が必要</x:t>
  </x:si>
  <x:si>
    <x:t xml:space="preserve">未確定メモ</x:t>
  </x:si>
  <x:si>
    <x:t xml:space="preserve">重量『未定』、後日連絡、時刻変更など未確定情報が残っている</x:t>
  </x:si>
  <x:si>
    <x:t xml:space="preserve">禁止情報混在帳票</x:t>
  </x:si>
  <x:si>
    <x:t xml:space="preserve">受注運賃『¥135,000』と支払条件が帳票内に明記されている</x:t>
  </x:si>
  <x:si>
    <x:t xml:space="preserve">過去比較票</x:t>
  </x:si>
  <x:si>
    <x:t xml:space="preserve">今回依頼の下に前回実績が別枠で併記されている</x:t>
  </x:si>
  <x:si>
    <x:t xml:space="preserve">『5/12 PM』『14時までに着』という幅・期限表現がある</x:t>
  </x:si>
  <x:si>
    <x:t xml:space="preserve">FAX形式だが文字・表は鮮明で標準項目抽出が中心</x:t>
  </x:si>
  <x:si>
    <x:t xml:space="preserve">手書き原本に納品『午前中』指定がある</x:t>
  </x:si>
  <x:si>
    <x:t xml:space="preserve">メール本文の箇条書きから運送条件を整理する形式</x:t>
  </x:si>
  <x:si>
    <x:t xml:space="preserve">手書き本文に連絡先付箋が追加されたメモ主体の原本</x:t>
  </x:si>
  <x:si>
    <x:t xml:space="preserve">小型だが明瞭な表形式の印字帳票</x:t>
  </x:si>
  <x:si>
    <x:t xml:space="preserve">黒つぶれ・ノイズ・低コントラストが強いFAX</x:t>
  </x:si>
  <x:si>
    <x:t xml:space="preserve">メッセージ本文と地図位置情報が同一画像に含まれる複合資料</x:t>
  </x:si>
  <x:si>
    <x:t xml:space="preserve">手書きの項目列挙と注意書きから構造化する原本</x:t>
  </x:si>
  <x:si>
    <x:t xml:space="preserve">積地→卸地の矢印と荷物条件を手書きで示したメモ</x:t>
  </x:si>
  <x:si>
    <x:t xml:space="preserve">紙面に強いしわ・破れ・汚れがある印字帳票</x:t>
  </x:si>
  <x:si>
    <x:t xml:space="preserve">積地・卸地・荷物・車種を簡潔に手書きしたメモ</x:t>
  </x:si>
  <x:si>
    <x:t xml:space="preserve">FAX形式だが判読性が高い小型定型帳票</x:t>
  </x:si>
  <x:si>
    <x:t xml:space="preserve">社内チャット印刷</x:t>
  </x:si>
  <x:si>
    <x:t xml:space="preserve">メール本文に希望日『AM指定』があり具体時刻へ変換してはいけない</x:t>
  </x:si>
  <x:si>
    <x:t xml:space="preserve">大きなシミ・汚れで一部背景が劣化した印字帳票</x:t>
  </x:si>
  <x:si>
    <x:t xml:space="preserve">地図と車両制約のみで、配車の主要項目が揃わない補助資料</x:t>
  </x:si>
  <x:si>
    <x:t xml:space="preserve">明瞭な小型表形式で基本情報が揃っている</x:t>
  </x:si>
  <x:si>
    <x:t xml:space="preserve">付箋1枚に積卸・荷物・車種・連絡先を手書きした原本</x:t>
  </x:si>
  <x:si>
    <x:t xml:space="preserve">黒つぶれと走査ノイズが非常に強いFAX</x:t>
  </x:si>
  <x:si>
    <x:t xml:space="preserve">明瞭な印字表で基本項目を抽出する原本</x:t>
  </x:si>
  <x:si>
    <x:t xml:space="preserve">紙面全体にしわ・折れがあるが印字項目が残る</x:t>
  </x:si>
  <x:si>
    <x:t xml:space="preserve">『午前中積込』『16時まで』という時間幅・期限条件がある</x:t>
  </x:si>
  <x:si>
    <x:t xml:space="preserve">低コントラスト・黒点・縁ノイズがあるFAX</x:t>
  </x:si>
  <x:si>
    <x:t xml:space="preserve">手書きで時刻・積卸・荷物・車両条件を列挙している</x:t>
  </x:si>
  <x:si>
    <x:t xml:space="preserve">冷凍品・温度『-20℃』等の品質条件が明記されている</x:t>
  </x:si>
  <x:si>
    <x:t xml:space="preserve">手書きで積卸・荷物・車種・注意事項を記載している</x:t>
  </x:si>
  <x:si>
    <x:t xml:space="preserve">印字情報に赤字で『17時必着』等の追加条件が追記されている</x:t>
  </x:si>
  <x:si>
    <x:t xml:space="preserve">付箋本文と手書きの簡易位置図を合わせて読む必要がある</x:t>
  </x:si>
  <x:si>
    <x:t xml:space="preserve">メール形式の本文内に簡易表で運送条件が記載されている</x:t>
  </x:si>
  <x:si>
    <x:t xml:space="preserve">掲示・保管されたような汚れや端部劣化がある印字表</x:t>
  </x:si>
  <x:si>
    <x:t xml:space="preserve">明瞭な表形式の標準依頼票</x:t>
  </x:si>
  <x:si>
    <x:t xml:space="preserve">FAXノイズと部分的な文字つぶれがある</x:t>
  </x:si>
  <x:si>
    <x:t xml:space="preserve">ノート紙に積卸・荷物・車両条件を手書きした原本</x:t>
  </x:si>
  <x:si>
    <x:t xml:space="preserve">冷凍食品、4t冷凍車、温度『-18℃設定』が明記されている</x:t>
  </x:si>
  <x:si>
    <x:t xml:space="preserve">大きな水濡れ・シミがある手書き記入帳票</x:t>
  </x:si>
  <x:si>
    <x:t xml:space="preserve">精密機器、横倒厳禁・取扱注意、箱車指定等の重要条件がある</x:t>
  </x:si>
  <x:si>
    <x:t xml:space="preserve">手書き本文に『至急対応』付箋が付いた原本</x:t>
  </x:si>
  <x:si>
    <x:t xml:space="preserve">『危険物』表示、消防法該当、ドラム缶等の安全条件がある</x:t>
  </x:si>
  <x:si>
    <x:t xml:space="preserve">積地・車種・日付時刻などに取消線と赤字変更がある</x:t>
  </x:si>
  <x:si>
    <x:t xml:space="preserve">2件の積卸・品名・数量・時刻を同一車両で扱う一覧</x:t>
  </x:si>
  <x:si>
    <x:t xml:space="preserve">手書きで積込・納品・品目・重量を記した至急メモ</x:t>
  </x:si>
  <x:si>
    <x:t xml:space="preserve">明瞭な単一案件の表形式帳票</x:t>
  </x:si>
  <x:si>
    <x:t xml:space="preserve">FAX形式だが文字が鮮明で基本項目の抽出が中心</x:t>
  </x:si>
  <x:si>
    <x:t xml:space="preserve">メール本文から積卸・品名・数量・車種・注意事項を整理する</x:t>
  </x:si>
  <x:si>
    <x:t xml:space="preserve">ドラム缶、緊急表示、危険物該当有無など取扱条件の保持が重要</x:t>
  </x:si>
  <x:si>
    <x:t xml:space="preserve">表ではなく文章・番号付き項目で運送条件を記載している</x:t>
  </x:si>
  <x:si>
    <x:t xml:space="preserve">手書きで積卸時刻・地点・数量・車種条件を記載している</x:t>
  </x:si>
  <x:si>
    <x:t xml:space="preserve">明瞭な表形式で単一案件の基本情報が揃う</x:t>
  </x:si>
  <x:si>
    <x:t xml:space="preserve">FAXノイズ・汚れ・低コントラストがある</x:t>
  </x:si>
  <x:si>
    <x:t xml:space="preserve">付箋に積卸時刻・荷物・数量・重量・注意事項を手書きしている</x:t>
  </x:si>
  <x:si>
    <x:t xml:space="preserve">明瞭な基本項目の表形式帳票</x:t>
  </x:si>
  <x:si>
    <x:t xml:space="preserve">手書きでAM積込、卸時刻、品名・数量・車種を記載</x:t>
  </x:si>
  <x:si>
    <x:t xml:space="preserve">TEL/FAX欄が黒塗りで一部情報が意図的に欠落している</x:t>
  </x:si>
  <x:si>
    <x:t xml:space="preserve">紙面に大きなシミ・経年汚れがある</x:t>
  </x:si>
  <x:si>
    <x:t xml:space="preserve">FAX形式だが読みやすく標準抽出が中心</x:t>
  </x:si>
  <x:si>
    <x:t xml:space="preserve">『午前中必着』という幅を持つ納品条件と積込時刻が併記されている</x:t>
  </x:si>
  <x:si>
    <x:t xml:space="preserve">明瞭な表形式で基本情報と至急表示がある</x:t>
  </x:si>
  <x:si>
    <x:t xml:space="preserve">日付に『AM』指定があり具体時刻を推測してはいけない</x:t>
  </x:si>
  <x:si>
    <x:t xml:space="preserve">冷凍品・『-20℃設定』・納品時刻条件があり品質条件保持が重要</x:t>
  </x:si>
  <x:si>
    <x:t xml:space="preserve">手書き本文に受付票と連絡付箋が重なり、複数情報源を統合する必要がある</x:t>
  </x:si>
</x:sst>
</file>

<file path=xl/styles.xml><?xml version="1.0" encoding="utf-8"?>
<x:styleSheet xmlns:x="http://schemas.openxmlformats.org/spreadsheetml/2006/main">
  <x:fonts count="21">
    <x:font>
      <x:sz val="11"/>
      <x:color theme="1"/>
      <x:name val="游ゴシック"/>
    </x:font>
    <x:font>
      <x:sz val="20"/>
      <x:color rgb="FF000000"/>
      <x:name val="Meiryo UI"/>
    </x:font>
    <x:font>
      <x:sz val="11"/>
      <x:color rgb="FF000000"/>
      <x:name val="Meiryo UI"/>
    </x:font>
    <x:font>
      <x:sz val="22"/>
      <x:color rgb="FF000000"/>
      <x:name val="Meiryo UI"/>
    </x:font>
    <x:font>
      <x:sz val="14"/>
      <x:color rgb="FF000000"/>
      <x:name val="Meiryo UI"/>
    </x:font>
    <x:font>
      <x:sz val="16"/>
      <x:color rgb="FF000000"/>
      <x:name val="Meiryo UI"/>
    </x:font>
    <x:font>
      <x:b/>
      <x:sz val="14"/>
      <x:color rgb="FF000000"/>
      <x:name val="Meiryo UI"/>
    </x:font>
    <x:font>
      <x:b/>
      <x:sz val="16"/>
      <x:color rgb="FF000000"/>
      <x:name val="Meiryo UI"/>
    </x:font>
    <x:font>
      <x:sz val="12"/>
      <x:color rgb="FF000000"/>
      <x:name val="Meiryo UI"/>
    </x:font>
    <x:font>
      <x:b/>
      <x:sz val="12"/>
      <x:color rgb="FF000000"/>
      <x:name val="Meiryo UI"/>
    </x:font>
    <x:font>
      <x:sz val="24"/>
      <x:color rgb="FF000000"/>
      <x:name val="Meiryo UI"/>
    </x:font>
    <x:font>
      <x:sz val="10"/>
      <x:color rgb="FF000000"/>
      <x:name val="Meiryo UI"/>
    </x:font>
    <x:font>
      <x:b/>
      <x:sz val="11"/>
      <x:color rgb="FF000000"/>
      <x:name val="Meiryo UI"/>
    </x:font>
    <x:font>
      <x:sz val="18"/>
      <x:color rgb="FF000000"/>
      <x:name val="Meiryo UI"/>
    </x:font>
    <x:font>
      <x:b/>
      <x:sz val="16"/>
      <x:color rgb="FFFFFFFF"/>
      <x:name val="游ゴシック"/>
    </x:font>
    <x:font>
      <x:b/>
      <x:sz val="11"/>
      <x:color rgb="FFFFFFFF"/>
      <x:name val="游ゴシック"/>
    </x:font>
    <x:font>
      <x:b/>
      <x:sz val="11"/>
      <x:color theme="1"/>
      <x:name val="游ゴシック"/>
    </x:font>
    <x:font>
      <x:b/>
      <x:sz val="11"/>
      <x:color rgb="FF1F1F1F"/>
      <x:name val="游ゴシック"/>
    </x:font>
    <x:font>
      <x:b/>
      <x:sz val="14"/>
      <x:color rgb="FFFFFFFF"/>
      <x:name val="游ゴシック"/>
    </x:font>
    <x:font>
      <x:i/>
      <x:sz val="11"/>
      <x:color rgb="FF44546A"/>
      <x:name val="游ゴシック"/>
    </x:font>
    <x:font>
      <x:sz val="6"/>
      <x:name val="ＭＳ Ｐゴシック"/>
    </x:font>
  </x:fonts>
  <x:fills count="8">
    <x:fill>
      <x:patternFill patternType="none"/>
    </x:fill>
    <x:fill>
      <x:patternFill patternType="gray125"/>
    </x:fill>
    <x:fill>
      <x:patternFill patternType="solid">
        <x:fgColor rgb="FF1F4E78"/>
      </x:patternFill>
    </x:fill>
    <x:fill>
      <x:patternFill patternType="solid">
        <x:fgColor rgb="FF4472C4"/>
      </x:patternFill>
    </x:fill>
    <x:fill>
      <x:patternFill patternType="solid">
        <x:fgColor rgb="FF5B9BD5"/>
      </x:patternFill>
    </x:fill>
    <x:fill>
      <x:patternFill patternType="solid">
        <x:fgColor rgb="FFD9EAF7"/>
      </x:patternFill>
    </x:fill>
    <x:fill>
      <x:patternFill patternType="solid">
        <x:fgColor rgb="FF5B9BD5"/>
      </x:patternFill>
    </x:fill>
    <x:fill>
      <x:patternFill patternType="solid">
        <x:fgColor rgb="FFD9EAF7"/>
      </x:patternFill>
    </x:fill>
  </x:fills>
  <x:borders count="20">
    <x:border/>
    <x:border>
      <x:top style="double">
        <x:color indexed="64"/>
      </x:top>
      <x:bottom style="double">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top style="thin">
        <x:color indexed="64"/>
      </x:top>
    </x:border>
    <x:border>
      <x:left style="thin">
        <x:color indexed="64"/>
      </x:left>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left style="thin">
        <x:color indexed="64"/>
      </x:left>
      <x:bottom style="thin">
        <x:color indexed="64"/>
      </x:bottom>
    </x:border>
    <x:border>
      <x:bottom style="thin">
        <x:color indexed="64"/>
      </x:bottom>
    </x:border>
    <x:border>
      <x:right style="thin">
        <x:color indexed="64"/>
      </x:right>
      <x:bottom style="thin">
        <x:color indexed="64"/>
      </x:bottom>
    </x:border>
    <x:border>
      <x:right style="thin">
        <x:color indexed="64"/>
      </x:right>
    </x:border>
    <x:border>
      <x:top style="thin">
        <x:color indexed="64"/>
      </x:top>
      <x:bottom style="thin">
        <x:color indexed="64"/>
      </x:bottom>
    </x:border>
    <x:border>
      <x:right style="medium">
        <x:color indexed="64"/>
      </x:right>
    </x:border>
    <x:border>
      <x:bottom style="double">
        <x:color indexed="64"/>
      </x:bottom>
    </x:border>
    <x:border>
      <x:top style="double">
        <x:color indexed="64"/>
      </x:top>
      <x:bottom style="thin">
        <x:color indexed="64"/>
      </x:bottom>
    </x:border>
  </x:borders>
  <x:cellStyleXfs count="1">
    <x:xf numFmtId="0" fontId="0" fillId="0" borderId="0">
      <x:alignment vertical="center"/>
    </x:xf>
  </x:cellStyleXfs>
  <x:cellXfs count="311">
    <x:xf numFmtId="0" fontId="0" fillId="0" borderId="0" xfId="0">
      <x:alignment vertical="center"/>
    </x:xf>
    <x:xf numFmtId="0" fontId="2" fillId="0" borderId="0" xfId="0" applyFont="1">
      <x:alignment vertical="center"/>
    </x:xf>
    <x:xf numFmtId="0" fontId="3" fillId="0" borderId="0" xfId="0" applyFont="1" applyAlignment="1"/>
    <x:xf numFmtId="0" fontId="2" fillId="0" borderId="0" xfId="0" applyFont="1" applyAlignment="1">
      <x:alignment horizontal="center" vertical="center"/>
    </x:xf>
    <x:xf numFmtId="0" fontId="4" fillId="0" borderId="2" xfId="0" applyFont="1" applyBorder="1" applyAlignment="1">
      <x:alignment horizontal="center" vertical="center"/>
    </x:xf>
    <x:xf numFmtId="0" fontId="4" fillId="0" borderId="0" xfId="0" applyFont="1" applyAlignment="1">
      <x:alignment horizontal="center" vertical="center"/>
    </x:xf>
    <x:xf numFmtId="0" fontId="1" fillId="0" borderId="0" xfId="0" applyFont="1">
      <x:alignment vertical="center"/>
    </x:xf>
    <x:xf numFmtId="0" fontId="5" fillId="0" borderId="2" xfId="0" applyFont="1" applyBorder="1" applyAlignment="1">
      <x:alignment horizontal="center" vertical="center"/>
    </x:xf>
    <x:xf numFmtId="0" fontId="7" fillId="0" borderId="0" xfId="0" applyFont="1" applyAlignment="1">
      <x:alignment horizontal="center" vertical="center" wrapText="1"/>
    </x:xf>
    <x:xf numFmtId="0" fontId="7" fillId="0" borderId="0" xfId="0" applyFont="1" applyAlignment="1">
      <x:alignment horizontal="center" vertical="center"/>
    </x:xf>
    <x:xf numFmtId="0" fontId="5" fillId="0" borderId="0" xfId="0" applyFont="1" applyAlignment="1">
      <x:alignment horizontal="left" vertical="center" wrapText="1"/>
    </x:xf>
    <x:xf numFmtId="0" fontId="8" fillId="0" borderId="3" xfId="0" applyFont="1" applyBorder="1" applyAlignment="1">
      <x:alignment horizontal="center" vertical="center" wrapText="1"/>
    </x:xf>
    <x:xf numFmtId="0" fontId="8" fillId="0" borderId="5" xfId="0" applyFont="1" applyBorder="1" applyAlignment="1">
      <x:alignment horizontal="center" vertical="center" wrapText="1"/>
    </x:xf>
    <x:xf numFmtId="0" fontId="9" fillId="0" borderId="0" xfId="0" applyFont="1">
      <x:alignment vertical="center"/>
    </x:xf>
    <x:xf numFmtId="0" fontId="9" fillId="0" borderId="0" xfId="0" applyFont="1" applyAlignment="1">
      <x:alignment horizontal="center" vertical="center" wrapText="1"/>
    </x:xf>
    <x:xf numFmtId="0" fontId="9" fillId="0" borderId="0" xfId="0" applyFont="1" applyAlignment="1">
      <x:alignment horizontal="center" vertical="center"/>
    </x:xf>
    <x:xf numFmtId="0" fontId="10" fillId="0" borderId="0" xfId="0" applyFont="1" applyAlignment="1">
      <x:alignment horizontal="center" vertical="center"/>
    </x:xf>
    <x:xf numFmtId="0" fontId="10" fillId="0" borderId="17" xfId="0" applyFont="1" applyBorder="1" applyAlignment="1">
      <x:alignment horizontal="center" vertical="center"/>
    </x:xf>
    <x:xf numFmtId="0" fontId="9" fillId="0" borderId="6" xfId="0" applyFont="1" applyBorder="1">
      <x:alignment vertical="center"/>
    </x:xf>
    <x:xf numFmtId="0" fontId="2" fillId="0" borderId="7" xfId="0" applyFont="1" applyBorder="1">
      <x:alignment vertical="center"/>
    </x:xf>
    <x:xf numFmtId="0" fontId="2" fillId="0" borderId="11" xfId="0" applyFont="1" applyBorder="1">
      <x:alignment vertical="center"/>
    </x:xf>
    <x:xf numFmtId="0" fontId="2" fillId="0" borderId="8" xfId="0" applyFont="1" applyBorder="1">
      <x:alignment vertical="center"/>
    </x:xf>
    <x:xf numFmtId="0" fontId="2" fillId="0" borderId="15" xfId="0" applyFont="1" applyBorder="1">
      <x:alignment vertical="center"/>
    </x:xf>
    <x:xf numFmtId="0" fontId="9" fillId="0" borderId="8" xfId="0" applyFont="1" applyBorder="1" applyAlignment="1">
      <x:alignment horizontal="center" vertical="center"/>
    </x:xf>
    <x:xf numFmtId="0" fontId="9" fillId="0" borderId="0" xfId="0" applyFont="1" applyAlignment="1">
      <x:alignment horizontal="right" vertical="center"/>
    </x:xf>
    <x:xf numFmtId="0" fontId="2" fillId="0" borderId="12" xfId="0" applyFont="1" applyBorder="1">
      <x:alignment vertical="center"/>
    </x:xf>
    <x:xf numFmtId="0" fontId="2" fillId="0" borderId="13" xfId="0" applyFont="1" applyBorder="1">
      <x:alignment vertical="center"/>
    </x:xf>
    <x:xf numFmtId="0" fontId="2" fillId="0" borderId="14" xfId="0" applyFont="1" applyBorder="1">
      <x:alignment vertical="center"/>
    </x:xf>
    <x:xf numFmtId="0" fontId="6" fillId="0" borderId="8" xfId="0" applyFont="1" applyBorder="1" applyAlignment="1">
      <x:alignment horizontal="left" vertical="center"/>
    </x:xf>
    <x:xf numFmtId="0" fontId="6" fillId="0" borderId="0" xfId="0" applyFont="1">
      <x:alignment vertical="center"/>
    </x:xf>
    <x:xf numFmtId="0" fontId="6" fillId="0" borderId="0" xfId="0" applyFont="1" applyAlignment="1">
      <x:alignment horizontal="center" vertical="center"/>
    </x:xf>
    <x:xf numFmtId="0" fontId="6" fillId="0" borderId="8" xfId="0" applyFont="1" applyBorder="1" applyAlignment="1">
      <x:alignment horizontal="center" vertical="center"/>
    </x:xf>
    <x:xf numFmtId="0" fontId="2" fillId="0" borderId="18" xfId="0" applyFont="1" applyBorder="1">
      <x:alignment vertical="center"/>
    </x:xf>
    <x:xf numFmtId="0" fontId="9" fillId="0" borderId="12" xfId="0" applyFont="1" applyBorder="1" applyAlignment="1">
      <x:alignment horizontal="center" vertical="center"/>
    </x:xf>
    <x:xf numFmtId="0" fontId="9" fillId="0" borderId="13" xfId="0" applyFont="1" applyBorder="1" applyAlignment="1">
      <x:alignment horizontal="center" vertical="center"/>
    </x:xf>
    <x:xf numFmtId="0" fontId="9" fillId="0" borderId="13" xfId="0" applyFont="1" applyBorder="1" applyAlignment="1">
      <x:alignment horizontal="right" vertical="center"/>
    </x:xf>
    <x:xf numFmtId="0" fontId="9" fillId="0" borderId="13" xfId="0" applyFont="1" applyBorder="1">
      <x:alignment vertical="center"/>
    </x:xf>
    <x:xf numFmtId="0" fontId="0" fillId="0" borderId="0" xfId="0" applyAlignment="1">
      <x:alignment vertical="center" wrapText="1"/>
    </x:xf>
    <x:xf numFmtId="0" fontId="0" fillId="0" borderId="0" xfId="0" applyAlignment="1">
      <x:alignment vertical="top" wrapText="1"/>
    </x:xf>
    <x:xf numFmtId="0" fontId="14" fillId="2" borderId="0" xfId="0" applyFont="1" applyFill="1" applyAlignment="1">
      <x:alignment vertical="top" wrapText="1"/>
    </x:xf>
    <x:xf numFmtId="0" fontId="15" fillId="3" borderId="0" xfId="0" applyFont="1" applyFill="1" applyAlignment="1">
      <x:alignment horizontal="center" vertical="top" wrapText="1"/>
    </x:xf>
    <x:xf numFmtId="0" fontId="15" fillId="4" borderId="0" xfId="0" applyFont="1" applyFill="1" applyAlignment="1">
      <x:alignment horizontal="center" vertical="top" wrapText="1"/>
    </x:xf>
    <x:xf numFmtId="0" fontId="16" fillId="5" borderId="0" xfId="0" applyFont="1" applyFill="1" applyAlignment="1">
      <x:alignment vertical="top" wrapText="1"/>
    </x:xf>
    <x:xf numFmtId="0" fontId="17" fillId="5" borderId="0" xfId="0" applyFont="1" applyFill="1" applyAlignment="1">
      <x:alignment vertical="top" wrapText="1"/>
    </x:xf>
    <x:xf numFmtId="0" fontId="15" fillId="6" borderId="0" xfId="0" applyFont="1" applyFill="1" applyAlignment="1">
      <x:alignment vertical="top" wrapText="1"/>
    </x:xf>
    <x:xf numFmtId="0" fontId="15" fillId="6" borderId="0" xfId="0" applyFont="1" applyFill="1" applyAlignment="1">
      <x:alignment horizontal="center" vertical="top" wrapText="1"/>
    </x:xf>
    <x:xf numFmtId="0" fontId="1" fillId="0" borderId="1" xfId="0" applyFont="1" applyBorder="1" applyAlignment="1">
      <x:alignment horizontal="center" vertical="center"/>
    </x:xf>
    <x:xf numFmtId="0" fontId="2" fillId="0" borderId="19" xfId="0" applyFont="1" applyBorder="1" applyAlignment="1">
      <x:alignment horizontal="center" vertical="center"/>
    </x:xf>
    <x:xf numFmtId="0" fontId="4" fillId="0" borderId="3" xfId="0" applyFont="1" applyBorder="1" applyAlignment="1">
      <x:alignment horizontal="center" vertical="center"/>
    </x:xf>
    <x:xf numFmtId="0" fontId="4" fillId="0" borderId="4" xfId="0" applyFont="1" applyBorder="1" applyAlignment="1">
      <x:alignment horizontal="center" vertical="center"/>
    </x:xf>
    <x:xf numFmtId="0" fontId="4" fillId="0" borderId="5" xfId="0" applyFont="1" applyBorder="1" applyAlignment="1">
      <x:alignment horizontal="center" vertical="center"/>
    </x:xf>
    <x:xf numFmtId="0" fontId="5" fillId="0" borderId="3" xfId="0" applyFont="1" applyBorder="1" applyAlignment="1">
      <x:alignment horizontal="center" vertical="center"/>
    </x:xf>
    <x:xf numFmtId="0" fontId="5" fillId="0" borderId="5" xfId="0" applyFont="1" applyBorder="1" applyAlignment="1">
      <x:alignment horizontal="center" vertical="center"/>
    </x:xf>
    <x:xf numFmtId="0" fontId="5" fillId="0" borderId="6" xfId="0" applyFont="1" applyBorder="1" applyAlignment="1">
      <x:alignment horizontal="center" vertical="center"/>
    </x:xf>
    <x:xf numFmtId="0" fontId="5" fillId="0" borderId="7" xfId="0" applyFont="1" applyBorder="1" applyAlignment="1">
      <x:alignment horizontal="center" vertical="center"/>
    </x:xf>
    <x:xf numFmtId="0" fontId="5" fillId="0" borderId="11" xfId="0" applyFont="1" applyBorder="1" applyAlignment="1">
      <x:alignment horizontal="center" vertical="center"/>
    </x:xf>
    <x:xf numFmtId="0" fontId="5" fillId="0" borderId="12" xfId="0" applyFont="1" applyBorder="1" applyAlignment="1">
      <x:alignment horizontal="center" vertical="center"/>
    </x:xf>
    <x:xf numFmtId="0" fontId="5" fillId="0" borderId="13" xfId="0" applyFont="1" applyBorder="1" applyAlignment="1">
      <x:alignment horizontal="center" vertical="center"/>
    </x:xf>
    <x:xf numFmtId="0" fontId="5" fillId="0" borderId="14" xfId="0" applyFont="1" applyBorder="1" applyAlignment="1">
      <x:alignment horizontal="center" vertical="center"/>
    </x:xf>
    <x:xf numFmtId="0" fontId="4" fillId="0" borderId="9" xfId="0" applyFont="1" applyBorder="1" applyAlignment="1">
      <x:alignment horizontal="center" vertical="center"/>
    </x:xf>
    <x:xf numFmtId="0" fontId="4" fillId="0" borderId="10" xfId="0" applyFont="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11" xfId="0" applyFont="1" applyBorder="1" applyAlignment="1">
      <x:alignment horizontal="center" vertical="center"/>
    </x:xf>
    <x:xf numFmtId="0" fontId="4" fillId="0" borderId="12" xfId="0" applyFont="1" applyBorder="1" applyAlignment="1">
      <x:alignment horizontal="center" vertical="center"/>
    </x:xf>
    <x:xf numFmtId="0" fontId="4" fillId="0" borderId="13" xfId="0" applyFont="1" applyBorder="1" applyAlignment="1">
      <x:alignment horizontal="center" vertical="center"/>
    </x:xf>
    <x:xf numFmtId="0" fontId="4" fillId="0" borderId="14" xfId="0" applyFont="1" applyBorder="1" applyAlignment="1">
      <x:alignment horizontal="center" vertical="center"/>
    </x:xf>
    <x:xf numFmtId="0" fontId="5" fillId="0" borderId="4" xfId="0" applyFont="1" applyBorder="1" applyAlignment="1">
      <x:alignment horizontal="center" vertical="center"/>
    </x:xf>
    <x:xf numFmtId="0" fontId="5" fillId="0" borderId="2" xfId="0" applyFont="1" applyBorder="1" applyAlignment="1">
      <x:alignment horizontal="center" vertical="center"/>
    </x:xf>
    <x:xf numFmtId="0" fontId="4" fillId="0" borderId="3" xfId="0" applyFont="1" applyBorder="1" applyAlignment="1">
      <x:alignment vertical="center" wrapText="1"/>
    </x:xf>
    <x:xf numFmtId="0" fontId="4" fillId="0" borderId="4" xfId="0" applyFont="1" applyBorder="1" applyAlignment="1">
      <x:alignment vertical="center" wrapText="1"/>
    </x:xf>
    <x:xf numFmtId="0" fontId="4" fillId="0" borderId="5" xfId="0" applyFont="1" applyBorder="1" applyAlignment="1">
      <x:alignment vertical="center" wrapText="1"/>
    </x:xf>
    <x:xf numFmtId="0" fontId="1" fillId="0" borderId="9" xfId="0" applyFont="1" applyBorder="1" applyAlignment="1">
      <x:alignment horizontal="center" vertical="center"/>
    </x:xf>
    <x:xf numFmtId="0" fontId="1" fillId="0" borderId="16" xfId="0" applyFont="1" applyBorder="1" applyAlignment="1">
      <x:alignment horizontal="center" vertical="center"/>
    </x:xf>
    <x:xf numFmtId="0" fontId="1" fillId="0" borderId="10" xfId="0" applyFont="1" applyBorder="1" applyAlignment="1">
      <x:alignment horizontal="center" vertical="center"/>
    </x:xf>
    <x:xf numFmtId="0" fontId="4" fillId="0" borderId="16" xfId="0" applyFont="1" applyBorder="1" applyAlignment="1">
      <x:alignment horizontal="center" vertical="center"/>
    </x:xf>
    <x:xf numFmtId="0" fontId="1" fillId="0" borderId="9" xfId="0" applyFont="1" applyBorder="1">
      <x:alignment vertical="center"/>
    </x:xf>
    <x:xf numFmtId="0" fontId="1" fillId="0" borderId="16" xfId="0" applyFont="1" applyBorder="1">
      <x:alignment vertical="center"/>
    </x:xf>
    <x:xf numFmtId="0" fontId="1" fillId="0" borderId="9" xfId="0" applyFont="1" applyBorder="1" applyAlignment="1">
      <x:alignment horizontal="left" vertical="center"/>
    </x:xf>
    <x:xf numFmtId="0" fontId="1" fillId="0" borderId="16" xfId="0" applyFont="1" applyBorder="1" applyAlignment="1">
      <x:alignment horizontal="left" vertical="center"/>
    </x:xf>
    <x:xf numFmtId="0" fontId="5" fillId="0" borderId="9" xfId="0" applyFont="1" applyBorder="1" applyAlignment="1">
      <x:alignment vertical="center" wrapText="1"/>
    </x:xf>
    <x:xf numFmtId="0" fontId="5" fillId="0" borderId="16" xfId="0" applyFont="1" applyBorder="1" applyAlignment="1">
      <x:alignment vertical="center" wrapText="1"/>
    </x:xf>
    <x:xf numFmtId="0" fontId="5" fillId="0" borderId="10" xfId="0" applyFont="1" applyBorder="1" applyAlignment="1">
      <x:alignment vertical="center" wrapText="1"/>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20" fontId="1" fillId="0" borderId="16" xfId="0" applyNumberFormat="1" applyFont="1" applyBorder="1" applyAlignment="1">
      <x:alignment horizontal="center" vertical="center"/>
    </x:xf>
    <x:xf numFmtId="0" fontId="1" fillId="0" borderId="10" xfId="0" applyFont="1" applyBorder="1">
      <x:alignment vertical="center"/>
    </x:xf>
    <x:xf numFmtId="0" fontId="1" fillId="0" borderId="9" xfId="0" applyFont="1" applyBorder="1" applyAlignment="1">
      <x:alignment horizontal="left" vertical="center" wrapText="1"/>
    </x:xf>
    <x:xf numFmtId="0" fontId="1" fillId="0" borderId="16" xfId="0" applyFont="1" applyBorder="1" applyAlignment="1">
      <x:alignment horizontal="left" vertical="center" wrapText="1"/>
    </x:xf>
    <x:xf numFmtId="0" fontId="1" fillId="0" borderId="10" xfId="0" applyFont="1" applyBorder="1" applyAlignment="1">
      <x:alignment horizontal="left" vertical="center" wrapText="1"/>
    </x:xf>
    <x:xf numFmtId="0" fontId="8" fillId="0" borderId="6" xfId="0" applyFont="1" applyBorder="1" applyAlignment="1">
      <x:alignment horizontal="center" vertical="center"/>
    </x:xf>
    <x:xf numFmtId="0" fontId="8" fillId="0" borderId="11" xfId="0" applyFont="1" applyBorder="1" applyAlignment="1">
      <x:alignment horizontal="center" vertical="center"/>
    </x:xf>
    <x:xf numFmtId="0" fontId="8" fillId="0" borderId="12" xfId="0" applyFont="1" applyBorder="1" applyAlignment="1">
      <x:alignment horizontal="center" vertical="center"/>
    </x:xf>
    <x:xf numFmtId="0" fontId="8" fillId="0" borderId="14" xfId="0" applyFont="1" applyBorder="1" applyAlignment="1">
      <x:alignment horizontal="center" vertical="center"/>
    </x:xf>
    <x:xf numFmtId="0" fontId="4" fillId="0" borderId="6" xfId="0" applyFont="1" applyBorder="1" applyAlignment="1">
      <x:alignment horizontal="center" vertical="center" wrapText="1"/>
    </x:xf>
    <x:xf numFmtId="0" fontId="4" fillId="0" borderId="7" xfId="0" applyFont="1" applyBorder="1" applyAlignment="1">
      <x:alignment horizontal="center" vertical="center" wrapText="1"/>
    </x:xf>
    <x:xf numFmtId="0" fontId="4" fillId="0" borderId="11" xfId="0" applyFont="1" applyBorder="1" applyAlignment="1">
      <x:alignment horizontal="center" vertical="center" wrapText="1"/>
    </x:xf>
    <x:xf numFmtId="0" fontId="4" fillId="0" borderId="12" xfId="0" applyFont="1" applyBorder="1" applyAlignment="1">
      <x:alignment horizontal="center" vertical="center" wrapText="1"/>
    </x:xf>
    <x:xf numFmtId="0" fontId="4" fillId="0" borderId="13" xfId="0" applyFont="1" applyBorder="1" applyAlignment="1">
      <x:alignment horizontal="center" vertical="center" wrapText="1"/>
    </x:xf>
    <x:xf numFmtId="0" fontId="4" fillId="0" borderId="14" xfId="0" applyFont="1" applyBorder="1" applyAlignment="1">
      <x:alignment horizontal="center" vertical="center" wrapText="1"/>
    </x:xf>
    <x:xf numFmtId="0" fontId="2" fillId="0" borderId="6" xfId="0" applyFont="1" applyBorder="1" applyAlignment="1">
      <x:alignment horizontal="center" vertical="center"/>
    </x:xf>
    <x:xf numFmtId="0" fontId="2" fillId="0" borderId="7" xfId="0" applyFont="1" applyBorder="1" applyAlignment="1">
      <x:alignment horizontal="center" vertical="center"/>
    </x:xf>
    <x:xf numFmtId="0" fontId="2" fillId="0" borderId="12" xfId="0" applyFont="1" applyBorder="1" applyAlignment="1">
      <x:alignment horizontal="center" vertical="center"/>
    </x:xf>
    <x:xf numFmtId="0" fontId="2" fillId="0" borderId="13" xfId="0" applyFont="1" applyBorder="1" applyAlignment="1">
      <x:alignment horizontal="center" vertical="center"/>
    </x:xf>
    <x:xf numFmtId="0" fontId="6" fillId="0" borderId="9" xfId="0" applyFont="1" applyBorder="1" applyAlignment="1">
      <x:alignment horizontal="left" vertical="center" wrapText="1"/>
    </x:xf>
    <x:xf numFmtId="0" fontId="6" fillId="0" borderId="16" xfId="0" applyFont="1" applyBorder="1" applyAlignment="1">
      <x:alignment horizontal="left" vertical="center" wrapText="1"/>
    </x:xf>
    <x:xf numFmtId="0" fontId="6" fillId="0" borderId="10" xfId="0" applyFont="1" applyBorder="1" applyAlignment="1">
      <x:alignment horizontal="left" vertical="center" wrapText="1"/>
    </x:xf>
    <x:xf numFmtId="0" fontId="4" fillId="0" borderId="6" xfId="0" applyFont="1" applyBorder="1" applyAlignment="1">
      <x:alignment horizontal="left" vertical="center" wrapText="1"/>
    </x:xf>
    <x:xf numFmtId="0" fontId="4" fillId="0" borderId="7" xfId="0" applyFont="1" applyBorder="1" applyAlignment="1">
      <x:alignment horizontal="left" vertical="center" wrapText="1"/>
    </x:xf>
    <x:xf numFmtId="0" fontId="4" fillId="0" borderId="11" xfId="0" applyFont="1" applyBorder="1" applyAlignment="1">
      <x:alignment horizontal="left" vertical="center" wrapText="1"/>
    </x:xf>
    <x:xf numFmtId="0" fontId="4" fillId="0" borderId="12" xfId="0" applyFont="1" applyBorder="1" applyAlignment="1">
      <x:alignment horizontal="left" vertical="center" wrapText="1"/>
    </x:xf>
    <x:xf numFmtId="0" fontId="4" fillId="0" borderId="13" xfId="0" applyFont="1" applyBorder="1" applyAlignment="1">
      <x:alignment horizontal="left" vertical="center" wrapText="1"/>
    </x:xf>
    <x:xf numFmtId="0" fontId="4" fillId="0" borderId="14" xfId="0" applyFont="1" applyBorder="1" applyAlignment="1">
      <x:alignment horizontal="left" vertical="center" wrapText="1"/>
    </x:xf>
    <x:xf numFmtId="0" fontId="8" fillId="0" borderId="9" xfId="0" applyFont="1" applyBorder="1" applyAlignment="1">
      <x:alignment horizontal="center" vertical="center"/>
    </x:xf>
    <x:xf numFmtId="0" fontId="8" fillId="0" borderId="10" xfId="0" applyFont="1" applyBorder="1" applyAlignment="1">
      <x:alignment horizontal="center" vertical="center"/>
    </x:xf>
    <x:xf numFmtId="0" fontId="8" fillId="0" borderId="16" xfId="0" applyFont="1" applyBorder="1" applyAlignment="1">
      <x:alignment horizontal="center" vertical="center"/>
    </x:xf>
    <x:xf numFmtId="0" fontId="4" fillId="0" borderId="9" xfId="0" applyFont="1" applyBorder="1" applyAlignment="1">
      <x:alignment horizontal="right" vertical="center"/>
    </x:xf>
    <x:xf numFmtId="0" fontId="4" fillId="0" borderId="16" xfId="0" applyFont="1" applyBorder="1" applyAlignment="1">
      <x:alignment horizontal="right" vertical="center"/>
    </x:xf>
    <x:xf numFmtId="0" fontId="4" fillId="0" borderId="10" xfId="0" applyFont="1" applyBorder="1" applyAlignment="1">
      <x:alignment horizontal="right" vertical="center"/>
    </x:xf>
    <x:xf numFmtId="0" fontId="10" fillId="0" borderId="9" xfId="0" applyFont="1" applyBorder="1" applyAlignment="1">
      <x:alignment horizontal="center" vertical="center"/>
    </x:xf>
    <x:xf numFmtId="0" fontId="10" fillId="0" borderId="16" xfId="0" applyFont="1" applyBorder="1" applyAlignment="1">
      <x:alignment horizontal="center" vertical="center"/>
    </x:xf>
    <x:xf numFmtId="0" fontId="9" fillId="0" borderId="9" xfId="0" applyFont="1" applyBorder="1" applyAlignment="1">
      <x:alignment horizontal="center" vertical="center"/>
    </x:xf>
    <x:xf numFmtId="0" fontId="9" fillId="0" borderId="16" xfId="0" applyFont="1" applyBorder="1" applyAlignment="1">
      <x:alignment horizontal="center" vertical="center"/>
    </x:xf>
    <x:xf numFmtId="0" fontId="9" fillId="0" borderId="10" xfId="0" applyFont="1" applyBorder="1" applyAlignment="1">
      <x:alignment horizontal="center" vertical="center"/>
    </x:xf>
    <x:xf numFmtId="0" fontId="2" fillId="0" borderId="9" xfId="0" applyFont="1" applyBorder="1" applyAlignment="1">
      <x:alignment horizontal="center" vertical="center" wrapText="1"/>
    </x:xf>
    <x:xf numFmtId="0" fontId="2" fillId="0" borderId="10" xfId="0" applyFont="1" applyBorder="1" applyAlignment="1">
      <x:alignment horizontal="center" vertical="center" wrapText="1"/>
    </x:xf>
    <x:xf numFmtId="0" fontId="2" fillId="0" borderId="9" xfId="0" applyFont="1" applyBorder="1" applyAlignment="1">
      <x:alignment horizontal="center" vertical="center"/>
    </x:xf>
    <x:xf numFmtId="0" fontId="2" fillId="0" borderId="10" xfId="0" applyFont="1" applyBorder="1" applyAlignment="1">
      <x:alignment horizontal="center" vertical="center"/>
    </x:xf>
    <x:xf numFmtId="0" fontId="9" fillId="0" borderId="9" xfId="0" applyFont="1" applyBorder="1" applyAlignment="1">
      <x:alignment horizontal="center" vertical="center" wrapText="1"/>
    </x:xf>
    <x:xf numFmtId="0" fontId="9" fillId="0" borderId="10" xfId="0" applyFont="1" applyBorder="1" applyAlignment="1">
      <x:alignment horizontal="center" vertical="center" wrapText="1"/>
    </x:xf>
    <x:xf numFmtId="0" fontId="11" fillId="0" borderId="7" xfId="0" applyFont="1" applyBorder="1" applyAlignment="1">
      <x:alignment horizontal="center" vertical="center"/>
    </x:xf>
    <x:xf numFmtId="0" fontId="12" fillId="0" borderId="13" xfId="0" applyFont="1" applyBorder="1" applyAlignment="1">
      <x:alignment horizontal="left" vertical="center"/>
    </x:xf>
    <x:xf numFmtId="0" fontId="9" fillId="0" borderId="9" xfId="0" applyFont="1" applyBorder="1" applyAlignment="1">
      <x:alignment horizontal="left" vertical="center"/>
    </x:xf>
    <x:xf numFmtId="0" fontId="9" fillId="0" borderId="16" xfId="0" applyFont="1" applyBorder="1" applyAlignment="1">
      <x:alignment horizontal="left" vertical="center"/>
    </x:xf>
    <x:xf numFmtId="0" fontId="9" fillId="0" borderId="8" xfId="0" applyFont="1" applyBorder="1" applyAlignment="1">
      <x:alignment horizontal="center" vertical="center"/>
    </x:xf>
    <x:xf numFmtId="0" fontId="9" fillId="0" borderId="15" xfId="0" applyFont="1" applyBorder="1" applyAlignment="1">
      <x:alignment horizontal="center" vertical="center"/>
    </x:xf>
    <x:xf numFmtId="0" fontId="9" fillId="0" borderId="9" xfId="0" applyFont="1" applyBorder="1" applyAlignment="1">
      <x:alignment horizontal="right" vertical="center"/>
    </x:xf>
    <x:xf numFmtId="0" fontId="9" fillId="0" borderId="16" xfId="0" applyFont="1" applyBorder="1" applyAlignment="1">
      <x:alignment horizontal="right" vertical="center"/>
    </x:xf>
    <x:xf numFmtId="0" fontId="9" fillId="0" borderId="8" xfId="0" applyFont="1" applyBorder="1" applyAlignment="1">
      <x:alignment horizontal="left" vertical="center"/>
    </x:xf>
    <x:xf numFmtId="0" fontId="13" fillId="0" borderId="18" xfId="0" applyFont="1" applyBorder="1" applyAlignment="1">
      <x:alignment horizontal="center" vertical="center"/>
    </x:xf>
    <x:xf numFmtId="0" fontId="5" fillId="0" borderId="18" xfId="0" applyFont="1" applyBorder="1" applyAlignment="1">
      <x:alignment horizontal="center" vertical="center"/>
    </x:xf>
    <x:xf numFmtId="0" fontId="14" fillId="2" borderId="0" xfId="0" applyFont="1" applyFill="1" applyAlignment="1">
      <x:alignment horizontal="left" vertical="top" wrapText="1"/>
    </x:xf>
    <x:xf numFmtId="0" fontId="18" fillId="6" borderId="0" xfId="0" applyFont="1" applyFill="1" applyAlignment="1">
      <x:alignment horizontal="center" vertical="center" wrapText="1"/>
    </x:xf>
    <x:xf numFmtId="0" fontId="19" fillId="7" borderId="0" xfId="0" applyFont="1" applyFill="1" applyAlignment="1">
      <x:alignment horizontal="left" vertical="top" wrapText="1"/>
    </x:xf>
    <x:xf numFmtId="0" fontId="1" fillId="0" borderId="10" xfId="0" applyFont="1" applyBorder="1" applyAlignment="1">
      <x:alignment horizontal="left" vertical="center"/>
    </x:xf>
    <x:xf numFmtId="20" fontId="1" fillId="0" borderId="10" xfId="0" applyNumberFormat="1" applyFont="1" applyBorder="1" applyAlignment="1">
      <x:alignment horizontal="center" vertical="center"/>
    </x:xf>
    <x:xf numFmtId="0" fontId="2" fillId="0" borderId="11" xfId="0" applyFont="1" applyBorder="1" applyAlignment="1">
      <x:alignment horizontal="center" vertical="center"/>
    </x:xf>
    <x:xf numFmtId="0" fontId="2" fillId="0" borderId="14" xfId="0" applyFont="1" applyBorder="1" applyAlignment="1">
      <x:alignment horizontal="center" vertical="center"/>
    </x:xf>
    <x:xf numFmtId="0" fontId="10" fillId="0" borderId="0" xfId="0" applyFont="1" applyBorder="1" applyAlignment="1">
      <x:alignment horizontal="center" vertical="center"/>
    </x:xf>
    <x:xf numFmtId="0" fontId="10" fillId="0" borderId="15" xfId="0" applyFont="1" applyBorder="1" applyAlignment="1">
      <x:alignment horizontal="center" vertical="center"/>
    </x:xf>
    <x:xf numFmtId="0" fontId="9" fillId="0" borderId="10" xfId="0" applyFont="1" applyBorder="1" applyAlignment="1">
      <x:alignment horizontal="left" vertical="center"/>
    </x:xf>
    <x:xf numFmtId="0" fontId="2" fillId="0" borderId="0" xfId="0" applyFont="1" applyBorder="1">
      <x:alignment vertical="center"/>
    </x:xf>
    <x:xf numFmtId="0" fontId="9" fillId="0" borderId="0" xfId="0" applyFont="1" applyBorder="1" applyAlignment="1">
      <x:alignment horizontal="center" vertical="center"/>
    </x:xf>
    <x:xf numFmtId="0" fontId="9" fillId="0" borderId="0" xfId="0" applyFont="1" applyBorder="1">
      <x:alignment vertical="center"/>
    </x:xf>
    <x:xf numFmtId="0" fontId="9" fillId="0" borderId="0" xfId="0" applyFont="1" applyBorder="1" applyAlignment="1">
      <x:alignment horizontal="left" vertical="center"/>
    </x:xf>
    <x:xf numFmtId="0" fontId="9" fillId="0" borderId="15" xfId="0" applyFont="1" applyBorder="1" applyAlignment="1">
      <x:alignment horizontal="left" vertical="center"/>
    </x:xf>
    <x:xf numFmtId="0"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x:xf numFmtId="0" fontId="2" fillId="0" borderId="0" xfId="0" applyNumberFormat="1" applyFont="1" applyFill="1" applyBorder="1" applyAlignment="1">
      <x:alignment horizontal="center" vertical="center"/>
    </x:xf>
    <x:xf numFmtId="0" fontId="4" fillId="0" borderId="2" xfId="0" applyNumberFormat="1" applyFont="1" applyFill="1" applyBorder="1" applyAlignment="1">
      <x:alignment horizontal="center" vertical="center"/>
    </x:xf>
    <x:xf numFmtId="0" fontId="4" fillId="0"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5" fillId="0" borderId="2" xfId="0" applyNumberFormat="1" applyFont="1" applyFill="1" applyBorder="1" applyAlignment="1">
      <x:alignment horizontal="center" vertical="center"/>
    </x:xf>
    <x:xf numFmtId="0" fontId="7" fillId="0" borderId="0" xfId="0" applyNumberFormat="1" applyFont="1" applyFill="1" applyBorder="1" applyAlignment="1">
      <x:alignment horizontal="center" vertical="center" wrapText="1"/>
    </x:xf>
    <x:xf numFmtId="0" fontId="7" fillId="0" borderId="0" xfId="0" applyNumberFormat="1" applyFont="1" applyFill="1" applyBorder="1" applyAlignment="1">
      <x:alignment horizontal="center" vertical="center"/>
    </x:xf>
    <x:xf numFmtId="0" fontId="5" fillId="0" borderId="0" xfId="0" applyNumberFormat="1" applyFont="1" applyFill="1" applyBorder="1" applyAlignment="1">
      <x:alignment horizontal="left" vertical="center" wrapText="1"/>
    </x:xf>
    <x:xf numFmtId="0" fontId="8" fillId="0" borderId="3"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center" wrapText="1"/>
    </x:xf>
    <x:xf numFmtId="0" fontId="9" fillId="0" borderId="0" xfId="0" applyNumberFormat="1" applyFont="1" applyFill="1" applyBorder="1" applyAlignment="1">
      <x:alignment vertical="center"/>
    </x:xf>
    <x:xf numFmtId="0" fontId="9" fillId="0" borderId="0"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center" vertical="center"/>
    </x:xf>
    <x:xf numFmtId="0" fontId="10" fillId="0" borderId="17" xfId="0" applyNumberFormat="1" applyFont="1" applyFill="1" applyBorder="1" applyAlignment="1">
      <x:alignment horizontal="center" vertical="center"/>
    </x:xf>
    <x:xf numFmtId="0" fontId="9" fillId="0" borderId="6" xfId="0" applyNumberFormat="1" applyFont="1" applyFill="1" applyBorder="1" applyAlignment="1">
      <x:alignment vertical="center"/>
    </x:xf>
    <x:xf numFmtId="0" fontId="2" fillId="0" borderId="7" xfId="0" applyNumberFormat="1" applyFont="1" applyFill="1" applyBorder="1" applyAlignment="1">
      <x:alignment vertical="center"/>
    </x:xf>
    <x:xf numFmtId="0" fontId="2" fillId="0" borderId="11" xfId="0" applyNumberFormat="1" applyFont="1" applyFill="1" applyBorder="1" applyAlignment="1">
      <x:alignment vertical="center"/>
    </x:xf>
    <x:xf numFmtId="0" fontId="2" fillId="0" borderId="8" xfId="0" applyNumberFormat="1" applyFont="1" applyFill="1" applyBorder="1" applyAlignment="1">
      <x:alignment vertical="center"/>
    </x:xf>
    <x:xf numFmtId="0" fontId="2" fillId="0" borderId="15" xfId="0" applyNumberFormat="1" applyFont="1" applyFill="1" applyBorder="1" applyAlignment="1">
      <x:alignment vertical="center"/>
    </x:xf>
    <x:xf numFmtId="0" fontId="9" fillId="0" borderId="8" xfId="0" applyNumberFormat="1" applyFont="1" applyFill="1" applyBorder="1" applyAlignment="1">
      <x:alignment horizontal="center" vertical="center"/>
    </x:xf>
    <x:xf numFmtId="0" fontId="9" fillId="0" borderId="0" xfId="0" applyNumberFormat="1" applyFont="1" applyFill="1" applyBorder="1" applyAlignment="1">
      <x:alignment horizontal="right" vertical="center"/>
    </x:xf>
    <x:xf numFmtId="0" fontId="2" fillId="0" borderId="12" xfId="0" applyNumberFormat="1" applyFont="1" applyFill="1" applyBorder="1" applyAlignment="1">
      <x:alignment vertical="center"/>
    </x:xf>
    <x:xf numFmtId="0" fontId="2" fillId="0" borderId="13" xfId="0" applyNumberFormat="1" applyFont="1" applyFill="1" applyBorder="1" applyAlignment="1">
      <x:alignment vertical="center"/>
    </x:xf>
    <x:xf numFmtId="0" fontId="2" fillId="0" borderId="14" xfId="0" applyNumberFormat="1" applyFont="1" applyFill="1" applyBorder="1" applyAlignment="1">
      <x:alignment vertical="center"/>
    </x:xf>
    <x:xf numFmtId="0" fontId="6" fillId="0" borderId="8" xfId="0" applyNumberFormat="1" applyFont="1" applyFill="1" applyBorder="1" applyAlignment="1">
      <x:alignment horizontal="lef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horizontal="center" vertical="center"/>
    </x:xf>
    <x:xf numFmtId="0" fontId="6" fillId="0" borderId="8" xfId="0" applyNumberFormat="1" applyFont="1" applyFill="1" applyBorder="1" applyAlignment="1">
      <x:alignment horizontal="center" vertical="center"/>
    </x:xf>
    <x:xf numFmtId="0" fontId="2" fillId="0" borderId="18" xfId="0" applyNumberFormat="1" applyFont="1" applyFill="1" applyBorder="1" applyAlignment="1">
      <x:alignment vertical="center"/>
    </x:xf>
    <x:xf numFmtId="0" fontId="9" fillId="0" borderId="12" xfId="0" applyNumberFormat="1" applyFont="1" applyFill="1" applyBorder="1" applyAlignment="1">
      <x:alignment horizontal="center" vertical="center"/>
    </x:xf>
    <x:xf numFmtId="0" fontId="9" fillId="0" borderId="13" xfId="0" applyNumberFormat="1" applyFont="1" applyFill="1" applyBorder="1" applyAlignment="1">
      <x:alignment horizontal="center" vertical="center"/>
    </x:xf>
    <x:xf numFmtId="0" fontId="9" fillId="0" borderId="13" xfId="0" applyNumberFormat="1" applyFont="1" applyFill="1" applyBorder="1" applyAlignment="1">
      <x:alignment horizontal="right" vertical="center"/>
    </x:xf>
    <x:xf numFmtId="0" fontId="9" fillId="0" borderId="13"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5" fillId="3" borderId="0" xfId="0" applyNumberFormat="1" applyFont="1" applyFill="1" applyBorder="1" applyAlignment="1">
      <x:alignment horizontal="center" vertical="top" wrapText="1"/>
    </x:xf>
    <x:xf numFmtId="0" fontId="15" fillId="4" borderId="0" xfId="0" applyNumberFormat="1" applyFont="1" applyFill="1" applyBorder="1" applyAlignment="1">
      <x:alignment horizontal="center" vertical="top" wrapText="1"/>
    </x:xf>
    <x:xf numFmtId="0" fontId="16" fillId="5" borderId="0"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 fillId="0" borderId="1" xfId="0" applyNumberFormat="1" applyFont="1" applyFill="1" applyBorder="1" applyAlignment="1">
      <x:alignment horizontal="center" vertical="center"/>
    </x:xf>
    <x:xf numFmtId="0" fontId="2" fillId="0" borderId="19" xfId="0" applyNumberFormat="1" applyFont="1" applyFill="1" applyBorder="1" applyAlignment="1">
      <x:alignment horizontal="center" vertical="center"/>
    </x:xf>
    <x:xf numFmtId="0" fontId="4" fillId="0" borderId="3"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5" fillId="0" borderId="3" xfId="0" applyNumberFormat="1" applyFont="1" applyFill="1" applyBorder="1" applyAlignment="1">
      <x:alignment horizontal="center" vertical="center"/>
    </x:xf>
    <x:xf numFmtId="0" fontId="5" fillId="0" borderId="5" xfId="0" applyNumberFormat="1" applyFont="1" applyFill="1" applyBorder="1" applyAlignment="1">
      <x:alignment horizontal="center" vertical="center"/>
    </x:xf>
    <x:xf numFmtId="0" fontId="5" fillId="0" borderId="6" xfId="0" applyNumberFormat="1" applyFont="1" applyFill="1" applyBorder="1" applyAlignment="1">
      <x:alignment horizontal="center" vertical="center"/>
    </x:xf>
    <x:xf numFmtId="0" fontId="5" fillId="0" borderId="7" xfId="0" applyNumberFormat="1" applyFont="1" applyFill="1" applyBorder="1" applyAlignment="1">
      <x:alignment horizontal="center" vertical="center"/>
    </x:xf>
    <x:xf numFmtId="0" fontId="5" fillId="0" borderId="11" xfId="0" applyNumberFormat="1" applyFont="1" applyFill="1" applyBorder="1" applyAlignment="1">
      <x:alignment horizontal="center" vertical="center"/>
    </x:xf>
    <x:xf numFmtId="0" fontId="5" fillId="0" borderId="12" xfId="0" applyNumberFormat="1" applyFont="1" applyFill="1" applyBorder="1" applyAlignment="1">
      <x:alignment horizontal="center" vertical="center"/>
    </x:xf>
    <x:xf numFmtId="0" fontId="5" fillId="0" borderId="13" xfId="0" applyNumberFormat="1" applyFont="1" applyFill="1" applyBorder="1" applyAlignment="1">
      <x:alignment horizontal="center" vertical="center"/>
    </x:xf>
    <x:xf numFmtId="0" fontId="5" fillId="0" borderId="14" xfId="0" applyNumberFormat="1" applyFont="1" applyFill="1" applyBorder="1" applyAlignment="1">
      <x:alignment horizontal="center" vertical="center"/>
    </x:xf>
    <x:xf numFmtId="0" fontId="4" fillId="0" borderId="9" xfId="0" applyNumberFormat="1" applyFont="1" applyFill="1" applyBorder="1" applyAlignment="1">
      <x:alignment horizontal="center" vertical="center"/>
    </x:xf>
    <x:xf numFmtId="0" fontId="4" fillId="0" borderId="10"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4" fillId="0" borderId="11" xfId="0" applyNumberFormat="1" applyFont="1" applyFill="1" applyBorder="1" applyAlignment="1">
      <x:alignment horizontal="center" vertical="center"/>
    </x:xf>
    <x:xf numFmtId="0" fontId="4" fillId="0" borderId="12" xfId="0" applyNumberFormat="1" applyFont="1" applyFill="1" applyBorder="1" applyAlignment="1">
      <x:alignment horizontal="center" vertical="center"/>
    </x:xf>
    <x:xf numFmtId="0" fontId="4" fillId="0" borderId="13" xfId="0" applyNumberFormat="1" applyFont="1" applyFill="1" applyBorder="1" applyAlignment="1">
      <x:alignment horizontal="center" vertical="center"/>
    </x:xf>
    <x:xf numFmtId="0" fontId="4" fillId="0" borderId="14" xfId="0" applyNumberFormat="1" applyFont="1" applyFill="1" applyBorder="1" applyAlignment="1">
      <x:alignment horizontal="center" vertical="center"/>
    </x:xf>
    <x:xf numFmtId="0" fontId="5" fillId="0" borderId="4" xfId="0" applyNumberFormat="1" applyFont="1" applyFill="1" applyBorder="1" applyAlignment="1">
      <x:alignment horizontal="center" vertical="center"/>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4" fillId="0" borderId="5" xfId="0" applyNumberFormat="1" applyFont="1" applyFill="1" applyBorder="1" applyAlignment="1">
      <x:alignment vertical="center" wrapText="1"/>
    </x:xf>
    <x:xf numFmtId="0" fontId="1" fillId="0" borderId="9" xfId="0" applyNumberFormat="1" applyFont="1" applyFill="1" applyBorder="1" applyAlignment="1">
      <x:alignment horizontal="center" vertical="center"/>
    </x:xf>
    <x:xf numFmtId="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horizontal="center" vertical="center"/>
    </x:xf>
    <x:xf numFmtId="0" fontId="4" fillId="0" borderId="16" xfId="0" applyNumberFormat="1" applyFont="1" applyFill="1" applyBorder="1" applyAlignment="1">
      <x:alignment horizontal="center" vertical="center"/>
    </x:xf>
    <x:xf numFmtId="0" fontId="1" fillId="0" borderId="9" xfId="0" applyNumberFormat="1" applyFont="1" applyFill="1" applyBorder="1" applyAlignment="1">
      <x:alignment vertical="center"/>
    </x:xf>
    <x:xf numFmtId="0" fontId="1" fillId="0" borderId="16" xfId="0" applyNumberFormat="1" applyFont="1" applyFill="1" applyBorder="1" applyAlignment="1">
      <x:alignment vertical="center"/>
    </x:xf>
    <x:xf numFmtId="0" fontId="1" fillId="0" borderId="9" xfId="0" applyNumberFormat="1" applyFont="1" applyFill="1" applyBorder="1" applyAlignment="1">
      <x:alignment horizontal="left" vertical="center"/>
    </x:xf>
    <x:xf numFmtId="0" fontId="1" fillId="0" borderId="16" xfId="0" applyNumberFormat="1" applyFont="1" applyFill="1" applyBorder="1" applyAlignment="1">
      <x:alignment horizontal="left" vertical="center"/>
    </x:xf>
    <x:xf numFmtId="0" fontId="5" fillId="0" borderId="9" xfId="0" applyNumberFormat="1" applyFont="1" applyFill="1" applyBorder="1" applyAlignment="1">
      <x:alignment vertical="center" wrapText="1"/>
    </x:xf>
    <x:xf numFmtId="0" fontId="5" fillId="0" borderId="16" xfId="0" applyNumberFormat="1" applyFont="1" applyFill="1" applyBorder="1" applyAlignment="1">
      <x:alignment vertical="center" wrapText="1"/>
    </x:xf>
    <x:xf numFmtId="0" fontId="5" fillId="0" borderId="10" xfId="0" applyNumberFormat="1" applyFont="1" applyFill="1" applyBorder="1" applyAlignment="1">
      <x:alignment vertical="center" wrapText="1"/>
    </x:xf>
    <x:xf numFmtId="0" fontId="4" fillId="0" borderId="3" xfId="0" applyNumberFormat="1" applyFont="1" applyFill="1" applyBorder="1" applyAlignment="1">
      <x:alignment horizontal="center" vertical="center" wrapText="1"/>
    </x:xf>
    <x:xf numFmtId="0" fontId="4" fillId="0" borderId="4" xfId="0" applyNumberFormat="1" applyFont="1" applyFill="1" applyBorder="1" applyAlignment="1">
      <x:alignment horizontal="center" vertical="center" wrapText="1"/>
    </x:xf>
    <x:xf numFmtId="0" fontId="4" fillId="0" borderId="5" xfId="0" applyNumberFormat="1" applyFont="1" applyFill="1" applyBorder="1" applyAlignment="1">
      <x:alignment horizontal="center" vertical="center" wrapText="1"/>
    </x:xf>
    <x:xf numFmtId="20" fontId="1" fillId="0" borderId="16" xfId="0" applyNumberFormat="1" applyFont="1" applyFill="1" applyBorder="1" applyAlignment="1">
      <x:alignment horizontal="center" vertical="center"/>
    </x:xf>
    <x:xf numFmtId="0" fontId="1" fillId="0" borderId="10" xfId="0" applyNumberFormat="1" applyFont="1" applyFill="1" applyBorder="1" applyAlignment="1">
      <x:alignment vertical="center"/>
    </x:xf>
    <x:xf numFmtId="0" fontId="1" fillId="0" borderId="9" xfId="0" applyNumberFormat="1" applyFont="1" applyFill="1" applyBorder="1" applyAlignment="1">
      <x:alignment horizontal="left" vertical="center" wrapText="1"/>
    </x:xf>
    <x:xf numFmtId="0" fontId="1" fillId="0" borderId="16" xfId="0" applyNumberFormat="1" applyFont="1" applyFill="1" applyBorder="1" applyAlignment="1">
      <x:alignment horizontal="left" vertical="center" wrapText="1"/>
    </x:xf>
    <x:xf numFmtId="0" fontId="1" fillId="0" borderId="10" xfId="0" applyNumberFormat="1" applyFont="1" applyFill="1" applyBorder="1" applyAlignment="1">
      <x:alignment horizontal="left" vertical="center" wrapText="1"/>
    </x:xf>
    <x:xf numFmtId="0" fontId="8" fillId="0" borderId="6" xfId="0" applyNumberFormat="1" applyFont="1" applyFill="1" applyBorder="1" applyAlignment="1">
      <x:alignment horizontal="center" vertical="center"/>
    </x:xf>
    <x:xf numFmtId="0" fontId="8" fillId="0" borderId="11" xfId="0" applyNumberFormat="1" applyFont="1" applyFill="1" applyBorder="1" applyAlignment="1">
      <x:alignment horizontal="center" vertical="center"/>
    </x:xf>
    <x:xf numFmtId="0" fontId="8" fillId="0" borderId="12" xfId="0" applyNumberFormat="1" applyFont="1" applyFill="1" applyBorder="1" applyAlignment="1">
      <x:alignment horizontal="center" vertical="center"/>
    </x:xf>
    <x:xf numFmtId="0" fontId="8" fillId="0" borderId="14"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wrapText="1"/>
    </x:xf>
    <x:xf numFmtId="0" fontId="4" fillId="0" borderId="7" xfId="0" applyNumberFormat="1" applyFont="1" applyFill="1" applyBorder="1" applyAlignment="1">
      <x:alignment horizontal="center" vertical="center" wrapText="1"/>
    </x:xf>
    <x:xf numFmtId="0" fontId="4" fillId="0" borderId="11" xfId="0" applyNumberFormat="1" applyFont="1" applyFill="1" applyBorder="1" applyAlignment="1">
      <x:alignment horizontal="center" vertical="center" wrapText="1"/>
    </x:xf>
    <x:xf numFmtId="0" fontId="4" fillId="0" borderId="12"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0" fontId="4" fillId="0" borderId="14"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x:xf>
    <x:xf numFmtId="0" fontId="2" fillId="0" borderId="7" xfId="0" applyNumberFormat="1" applyFont="1" applyFill="1" applyBorder="1" applyAlignment="1">
      <x:alignment horizontal="center" vertical="center"/>
    </x:xf>
    <x:xf numFmtId="0" fontId="2" fillId="0" borderId="12" xfId="0" applyNumberFormat="1" applyFont="1" applyFill="1" applyBorder="1" applyAlignment="1">
      <x:alignment horizontal="center" vertical="center"/>
    </x:xf>
    <x:xf numFmtId="0" fontId="2" fillId="0" borderId="13" xfId="0" applyNumberFormat="1" applyFont="1" applyFill="1" applyBorder="1" applyAlignment="1">
      <x:alignment horizontal="center" vertical="center"/>
    </x:xf>
    <x:xf numFmtId="0" fontId="6" fillId="0" borderId="9" xfId="0" applyNumberFormat="1" applyFont="1" applyFill="1" applyBorder="1" applyAlignment="1">
      <x:alignment horizontal="left" vertical="center" wrapText="1"/>
    </x:xf>
    <x:xf numFmtId="0" fontId="6" fillId="0" borderId="16" xfId="0" applyNumberFormat="1" applyFont="1" applyFill="1" applyBorder="1" applyAlignment="1">
      <x:alignment horizontal="left" vertical="center" wrapText="1"/>
    </x:xf>
    <x:xf numFmtId="0" fontId="6" fillId="0" borderId="10" xfId="0" applyNumberFormat="1" applyFont="1" applyFill="1" applyBorder="1" applyAlignment="1">
      <x:alignment horizontal="left" vertical="center" wrapText="1"/>
    </x:xf>
    <x:xf numFmtId="0" fontId="4" fillId="0" borderId="6" xfId="0" applyNumberFormat="1" applyFont="1" applyFill="1" applyBorder="1" applyAlignment="1">
      <x:alignment horizontal="left" vertical="center" wrapText="1"/>
    </x:xf>
    <x:xf numFmtId="0" fontId="4" fillId="0" borderId="7" xfId="0" applyNumberFormat="1" applyFont="1" applyFill="1" applyBorder="1" applyAlignment="1">
      <x:alignment horizontal="left" vertical="center" wrapText="1"/>
    </x:xf>
    <x:xf numFmtId="0" fontId="4" fillId="0" borderId="11" xfId="0" applyNumberFormat="1" applyFont="1" applyFill="1" applyBorder="1" applyAlignment="1">
      <x:alignment horizontal="left" vertical="center" wrapText="1"/>
    </x:xf>
    <x:xf numFmtId="0" fontId="4" fillId="0" borderId="12" xfId="0" applyNumberFormat="1" applyFont="1" applyFill="1" applyBorder="1" applyAlignment="1">
      <x:alignment horizontal="left" vertical="center" wrapText="1"/>
    </x:xf>
    <x:xf numFmtId="0" fontId="4" fillId="0" borderId="13" xfId="0" applyNumberFormat="1" applyFont="1" applyFill="1" applyBorder="1" applyAlignment="1">
      <x:alignment horizontal="left" vertical="center" wrapText="1"/>
    </x:xf>
    <x:xf numFmtId="0" fontId="4" fillId="0" borderId="14" xfId="0" applyNumberFormat="1" applyFont="1" applyFill="1" applyBorder="1" applyAlignment="1">
      <x:alignment horizontal="left" vertical="center" wrapText="1"/>
    </x:xf>
    <x:xf numFmtId="0" fontId="8" fillId="0" borderId="9" xfId="0" applyNumberFormat="1" applyFont="1" applyFill="1" applyBorder="1" applyAlignment="1">
      <x:alignment horizontal="center" vertical="center"/>
    </x:xf>
    <x:xf numFmtId="0" fontId="8" fillId="0" borderId="10" xfId="0" applyNumberFormat="1" applyFont="1" applyFill="1" applyBorder="1" applyAlignment="1">
      <x:alignment horizontal="center" vertical="center"/>
    </x:xf>
    <x:xf numFmtId="0" fontId="8" fillId="0" borderId="16" xfId="0" applyNumberFormat="1" applyFont="1" applyFill="1" applyBorder="1" applyAlignment="1">
      <x:alignment horizontal="center" vertical="center"/>
    </x:xf>
    <x:xf numFmtId="0" fontId="4" fillId="0" borderId="9" xfId="0" applyNumberFormat="1" applyFont="1" applyFill="1" applyBorder="1" applyAlignment="1">
      <x:alignment horizontal="right" vertical="center"/>
    </x:xf>
    <x:xf numFmtId="0" fontId="4" fillId="0" borderId="16" xfId="0" applyNumberFormat="1" applyFont="1" applyFill="1" applyBorder="1" applyAlignment="1">
      <x:alignment horizontal="right" vertical="center"/>
    </x:xf>
    <x:xf numFmtId="0" fontId="4" fillId="0" borderId="10" xfId="0" applyNumberFormat="1" applyFont="1" applyFill="1" applyBorder="1" applyAlignment="1">
      <x:alignment horizontal="right" vertical="center"/>
    </x:xf>
    <x:xf numFmtId="0" fontId="10" fillId="0" borderId="9" xfId="0" applyNumberFormat="1" applyFont="1" applyFill="1" applyBorder="1" applyAlignment="1">
      <x:alignment horizontal="center" vertical="center"/>
    </x:xf>
    <x:xf numFmtId="0" fontId="10" fillId="0" borderId="16"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x:xf>
    <x:xf numFmtId="0" fontId="9" fillId="0" borderId="16" xfId="0" applyNumberFormat="1" applyFont="1" applyFill="1" applyBorder="1" applyAlignment="1">
      <x:alignment horizontal="center" vertical="center"/>
    </x:xf>
    <x:xf numFmtId="0" fontId="9" fillId="0" borderId="10" xfId="0" applyNumberFormat="1" applyFont="1" applyFill="1" applyBorder="1" applyAlignment="1">
      <x:alignment horizontal="center" vertical="center"/>
    </x:xf>
    <x:xf numFmtId="0" fontId="2" fillId="0" borderId="9" xfId="0" applyNumberFormat="1" applyFont="1" applyFill="1" applyBorder="1" applyAlignment="1">
      <x:alignment horizontal="center" vertical="center" wrapText="1"/>
    </x:xf>
    <x:xf numFmtId="0" fontId="2" fillId="0" borderId="10" xfId="0" applyNumberFormat="1" applyFont="1" applyFill="1" applyBorder="1" applyAlignment="1">
      <x:alignment horizontal="center" vertical="center" wrapText="1"/>
    </x:xf>
    <x:xf numFmtId="0" fontId="2" fillId="0" borderId="9" xfId="0" applyNumberFormat="1" applyFont="1" applyFill="1" applyBorder="1" applyAlignment="1">
      <x:alignment horizontal="center" vertical="center"/>
    </x:xf>
    <x:xf numFmtId="0" fontId="2" fillId="0" borderId="10" xfId="0" applyNumberFormat="1" applyFont="1" applyFill="1" applyBorder="1" applyAlignment="1">
      <x:alignment horizontal="center" vertical="center"/>
    </x:xf>
    <x:xf numFmtId="0" fontId="9" fillId="0" borderId="9" xfId="0" applyNumberFormat="1" applyFont="1" applyFill="1" applyBorder="1" applyAlignment="1">
      <x:alignment horizontal="center" vertical="center" wrapText="1"/>
    </x:xf>
    <x:xf numFmtId="0" fontId="9" fillId="0" borderId="10" xfId="0" applyNumberFormat="1" applyFont="1" applyFill="1" applyBorder="1" applyAlignment="1">
      <x:alignment horizontal="center" vertical="center" wrapText="1"/>
    </x:xf>
    <x:xf numFmtId="0" fontId="11" fillId="0" borderId="7" xfId="0" applyNumberFormat="1" applyFont="1" applyFill="1" applyBorder="1" applyAlignment="1">
      <x:alignment horizontal="center" vertical="center"/>
    </x:xf>
    <x:xf numFmtId="0" fontId="12" fillId="0" borderId="13" xfId="0" applyNumberFormat="1" applyFont="1" applyFill="1" applyBorder="1" applyAlignment="1">
      <x:alignment horizontal="left" vertical="center"/>
    </x:xf>
    <x:xf numFmtId="0" fontId="9" fillId="0" borderId="9" xfId="0" applyNumberFormat="1" applyFont="1" applyFill="1" applyBorder="1" applyAlignment="1">
      <x:alignment horizontal="left" vertical="center"/>
    </x:xf>
    <x:xf numFmtId="0" fontId="9" fillId="0" borderId="16" xfId="0" applyNumberFormat="1" applyFont="1" applyFill="1" applyBorder="1" applyAlignment="1">
      <x:alignment horizontal="left" vertical="center"/>
    </x:xf>
    <x:xf numFmtId="0" fontId="9" fillId="0" borderId="15" xfId="0" applyNumberFormat="1" applyFont="1" applyFill="1" applyBorder="1" applyAlignment="1">
      <x:alignment horizontal="center" vertical="center"/>
    </x:xf>
    <x:xf numFmtId="0" fontId="9" fillId="0" borderId="9" xfId="0" applyNumberFormat="1" applyFont="1" applyFill="1" applyBorder="1" applyAlignment="1">
      <x:alignment horizontal="right" vertical="center"/>
    </x:xf>
    <x:xf numFmtId="0" fontId="9" fillId="0" borderId="16" xfId="0" applyNumberFormat="1" applyFont="1" applyFill="1" applyBorder="1" applyAlignment="1">
      <x:alignment horizontal="right" vertical="center"/>
    </x:xf>
    <x:xf numFmtId="0" fontId="9" fillId="0" borderId="8" xfId="0" applyNumberFormat="1" applyFont="1" applyFill="1" applyBorder="1" applyAlignment="1">
      <x:alignment horizontal="left" vertical="center"/>
    </x:xf>
    <x:xf numFmtId="0" fontId="13" fillId="0" borderId="18" xfId="0" applyNumberFormat="1" applyFont="1" applyFill="1" applyBorder="1" applyAlignment="1">
      <x:alignment horizontal="center" vertical="center"/>
    </x:xf>
    <x:xf numFmtId="0" fontId="5" fillId="0" borderId="18" xfId="0" applyNumberFormat="1" applyFont="1" applyFill="1" applyBorder="1" applyAlignment="1">
      <x:alignment horizontal="center" vertical="center"/>
    </x:xf>
    <x:xf numFmtId="0" fontId="14" fillId="2" borderId="0" xfId="0" applyNumberFormat="1" applyFont="1" applyFill="1" applyBorder="1" applyAlignment="1">
      <x:alignment horizontal="left" vertical="top" wrapText="1"/>
    </x:xf>
    <x:xf numFmtId="0" fontId="18" fillId="4" borderId="0" xfId="0" applyNumberFormat="1" applyFont="1" applyFill="1" applyBorder="1" applyAlignment="1">
      <x:alignment horizontal="center" vertical="center" wrapText="1"/>
    </x:xf>
    <x:xf numFmtId="0" fontId="19" fillId="5" borderId="0" xfId="0" applyNumberFormat="1" applyFont="1" applyFill="1" applyBorder="1" applyAlignment="1">
      <x:alignment horizontal="left" vertical="top" wrapText="1"/>
    </x:xf>
    <x:xf numFmtId="0" fontId="1" fillId="0" borderId="10" xfId="0" applyNumberFormat="1" applyFont="1" applyFill="1" applyBorder="1" applyAlignment="1">
      <x:alignment horizontal="left" vertical="center"/>
    </x:xf>
    <x:xf numFmtId="20" fontId="1" fillId="0" borderId="10" xfId="0" applyNumberFormat="1" applyFont="1" applyFill="1" applyBorder="1" applyAlignment="1">
      <x:alignment horizontal="center" vertical="center"/>
    </x:xf>
    <x:xf numFmtId="0" fontId="2" fillId="0" borderId="11" xfId="0" applyNumberFormat="1" applyFont="1" applyFill="1" applyBorder="1" applyAlignment="1">
      <x:alignment horizontal="center" vertical="center"/>
    </x:xf>
    <x:xf numFmtId="0" fontId="2" fillId="0" borderId="14" xfId="0" applyNumberFormat="1" applyFont="1" applyFill="1" applyBorder="1" applyAlignment="1">
      <x:alignment horizontal="center" vertical="center"/>
    </x:xf>
    <x:xf numFmtId="0" fontId="10" fillId="0" borderId="15" xfId="0" applyNumberFormat="1" applyFont="1" applyFill="1" applyBorder="1" applyAlignment="1">
      <x:alignment horizontal="center" vertical="center"/>
    </x:xf>
    <x:xf numFmtId="0" fontId="9" fillId="0" borderId="10" xfId="0" applyNumberFormat="1" applyFont="1" applyFill="1" applyBorder="1" applyAlignment="1">
      <x:alignment horizontal="left" vertical="center"/>
    </x:xf>
    <x:xf numFmtId="0" fontId="9" fillId="0" borderId="0" xfId="0" applyNumberFormat="1" applyFont="1" applyFill="1" applyBorder="1" applyAlignment="1">
      <x:alignment horizontal="left" vertical="center"/>
    </x:xf>
    <x:xf numFmtId="0" fontId="9" fillId="0" borderId="15" xfId="0" applyNumberFormat="1" applyFont="1" applyFill="1" applyBorder="1" applyAlignment="1">
      <x:alignment horizontal="left" vertical="center"/>
    </x:xf>
    <x:xf numFmtId="0" fontId="8" fillId="0" borderId="11"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2" fillId="0" borderId="7" xfId="0" applyNumberFormat="1" applyFont="1" applyFill="1" applyBorder="1" applyAlignment="1">
      <x:alignment horizontal="center" vertical="center" wrapText="1"/>
    </x:xf>
    <x:xf numFmtId="0" fontId="2" fillId="0" borderId="11" xfId="0" applyNumberFormat="1" applyFont="1" applyFill="1" applyBorder="1" applyAlignment="1">
      <x:alignment horizontal="center" vertical="center" wrapText="1"/>
    </x:xf>
  </x:cellXfs>
  <x:cellStyles count="1">
    <x:cellStyle name="標準" xfId="0"/>
  </x:cellStyles>
  <x:dxfs count="2">
    <x:dxf>
      <x:fill>
        <x:patternFill>
          <x:bgColor rgb="FFE2F0D9"/>
        </x:patternFill>
      </x:fill>
    </x:dxf>
    <x:dxf>
      <x:font>
        <x:b/>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bee7ed63750415f" /><Relationship Type="http://schemas.openxmlformats.org/officeDocument/2006/relationships/theme" Target="/xl/theme/theme1.xml" Id="R4c5fbcb1635b4632" /><Relationship Type="http://schemas.openxmlformats.org/officeDocument/2006/relationships/sharedStrings" Target="/xl/sharedStrings.xml" Id="R2d3bc7d52f4044b2" /><Relationship Type="http://schemas.openxmlformats.org/officeDocument/2006/relationships/worksheet" Target="/xl/worksheets/sheet1.xml" Id="R46dcdcd1114c4bab" /><Relationship Type="http://schemas.openxmlformats.org/officeDocument/2006/relationships/worksheet" Target="/xl/worksheets/sheet2.xml" Id="R49dbb2ef7b4e49b8" /><Relationship Type="http://schemas.openxmlformats.org/officeDocument/2006/relationships/worksheet" Target="/xl/worksheets/sheet3.xml" Id="Rd40c4d896bc74017" /><Relationship Type="http://schemas.openxmlformats.org/officeDocument/2006/relationships/worksheet" Target="/xl/worksheets/sheet4.xml" Id="R52aa5e9ab5c3410b" /><Relationship Type="http://schemas.openxmlformats.org/officeDocument/2006/relationships/worksheet" Target="/xl/worksheets/sheet5.xml" Id="R1921445dfe054be7" /><Relationship Type="http://schemas.openxmlformats.org/officeDocument/2006/relationships/worksheet" Target="/xl/worksheets/sheet6.xml" Id="R4985bb246f474216" /><Relationship Type="http://schemas.openxmlformats.org/officeDocument/2006/relationships/worksheet" Target="/xl/worksheets/sheet7.xml" Id="R8a8f06c3b52e4d1c" /><Relationship Type="http://schemas.openxmlformats.org/officeDocument/2006/relationships/worksheet" Target="/xl/worksheets/sheet8.xml" Id="R152f37e37159421d" /><Relationship Type="http://schemas.openxmlformats.org/officeDocument/2006/relationships/worksheet" Target="/xl/worksheets/sheet9.xml" Id="Ra20220e704574611"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8"/>
  <x:cols>
    <x:col min="9" max="11" width="9.5" customWidth="1"/>
  </x:cols>
  <x:sheetData>
    <x:row r="1" ht="26.5">
      <x:c r="A1" s="46" t="s">
        <x:v>0</x:v>
      </x:c>
      <x:c r="B1" s="46"/>
      <x:c r="C1" s="46"/>
      <x:c r="D1" s="46"/>
      <x:c r="E1" s="46"/>
      <x:c r="F1" s="46"/>
      <x:c r="G1" s="46"/>
      <x:c r="H1" s="46"/>
      <x:c r="I1" s="46"/>
      <x:c r="J1" s="46"/>
      <x:c r="K1" s="46"/>
    </x:row>
    <x:row r="2" ht="30">
      <x:c r="A2" s="1"/>
      <x:c r="B2" s="2"/>
      <x:c r="C2" s="2"/>
      <x:c r="D2" s="2"/>
      <x:c r="E2" s="1"/>
      <x:c r="F2" s="1"/>
      <x:c r="G2" s="1"/>
      <x:c r="H2" s="1"/>
      <x:c r="I2" s="3" t="s">
        <x:v>1</x:v>
      </x:c>
      <x:c r="J2" s="47" t="str"/>
      <x:c r="K2" s="47"/>
    </x:row>
    <x:row r="3" ht="19.5">
      <x:c r="A3" s="48" t="s">
        <x:v>2</x:v>
      </x:c>
      <x:c r="B3" s="51" t="s">
        <x:v>3</x:v>
      </x:c>
      <x:c r="C3" s="53" t="str"/>
      <x:c r="D3" s="54"/>
      <x:c r="E3" s="54"/>
      <x:c r="F3" s="54"/>
      <x:c r="G3" s="54"/>
      <x:c r="H3" s="55"/>
      <x:c r="I3" s="4" t="s">
        <x:v>4</x:v>
      </x:c>
      <x:c r="J3" s="59" t="str"/>
      <x:c r="K3" s="60"/>
    </x:row>
    <x:row r="4" ht="19.5">
      <x:c r="A4" s="49"/>
      <x:c r="B4" s="52"/>
      <x:c r="C4" s="56"/>
      <x:c r="D4" s="57"/>
      <x:c r="E4" s="57"/>
      <x:c r="F4" s="57"/>
      <x:c r="G4" s="57"/>
      <x:c r="H4" s="58"/>
      <x:c r="I4" s="4" t="s">
        <x:v>5</x:v>
      </x:c>
      <x:c r="J4" s="59" t="str"/>
      <x:c r="K4" s="60"/>
    </x:row>
    <x:row r="5" ht="19.5">
      <x:c r="A5" s="49"/>
      <x:c r="B5" s="51" t="s">
        <x:v>6</x:v>
      </x:c>
      <x:c r="C5" s="61" t="str"/>
      <x:c r="D5" s="62"/>
      <x:c r="E5" s="62"/>
      <x:c r="F5" s="62"/>
      <x:c r="G5" s="62"/>
      <x:c r="H5" s="63"/>
      <x:c r="I5" s="4" t="s">
        <x:v>7</x:v>
      </x:c>
      <x:c r="J5" s="59" t="str"/>
      <x:c r="K5" s="60"/>
    </x:row>
    <x:row r="6" ht="19.5">
      <x:c r="A6" s="50"/>
      <x:c r="B6" s="52"/>
      <x:c r="C6" s="64"/>
      <x:c r="D6" s="65"/>
      <x:c r="E6" s="65"/>
      <x:c r="F6" s="65"/>
      <x:c r="G6" s="65"/>
      <x:c r="H6" s="66"/>
      <x:c r="I6" s="4" t="s">
        <x:v>8</x:v>
      </x:c>
      <x:c r="J6" s="59" t="str"/>
      <x:c r="K6" s="60"/>
    </x:row>
    <x:row r="7" ht="12.5" customHeight="1">
      <x:c r="A7" s="48" t="s">
        <x:v>9</x:v>
      </x:c>
      <x:c r="B7" s="51" t="s">
        <x:v>3</x:v>
      </x:c>
      <x:c r="C7" s="68"/>
      <x:c r="D7" s="68"/>
      <x:c r="E7" s="68"/>
      <x:c r="F7" s="68"/>
      <x:c r="G7" s="68"/>
      <x:c r="H7" s="68" t="s">
        <x:v>10</x:v>
      </x:c>
      <x:c r="I7" s="51" t="s">
        <x:v>4</x:v>
      </x:c>
      <x:c r="J7" s="68"/>
      <x:c r="K7" s="68"/>
    </x:row>
    <x:row r="8" ht="12.5" customHeight="1">
      <x:c r="A8" s="49"/>
      <x:c r="B8" s="67"/>
      <x:c r="C8" s="68"/>
      <x:c r="D8" s="68"/>
      <x:c r="E8" s="68"/>
      <x:c r="F8" s="68"/>
      <x:c r="G8" s="68"/>
      <x:c r="H8" s="68"/>
      <x:c r="I8" s="67"/>
      <x:c r="J8" s="68"/>
      <x:c r="K8" s="68"/>
    </x:row>
    <x:row r="9" ht="12.5" customHeight="1">
      <x:c r="A9" s="50"/>
      <x:c r="B9" s="52"/>
      <x:c r="C9" s="68"/>
      <x:c r="D9" s="68"/>
      <x:c r="E9" s="68"/>
      <x:c r="F9" s="68"/>
      <x:c r="G9" s="68"/>
      <x:c r="H9" s="68"/>
      <x:c r="I9" s="52"/>
      <x:c r="J9" s="68"/>
      <x:c r="K9" s="68"/>
    </x:row>
    <x:row r="10">
      <x:c r="A10" s="1"/>
      <x:c r="B10" s="1"/>
      <x:c r="C10" s="1"/>
      <x:c r="D10" s="1"/>
      <x:c r="E10" s="1"/>
      <x:c r="F10" s="1"/>
      <x:c r="G10" s="1"/>
      <x:c r="H10" s="1"/>
      <x:c r="I10" s="1"/>
      <x:c r="J10" s="1"/>
      <x:c r="K10" s="1"/>
    </x:row>
    <x:row r="11" ht="26.5">
      <x:c r="A11" s="69" t="s">
        <x:v>11</x:v>
      </x:c>
      <x:c r="B11" s="4" t="s">
        <x:v>12</x:v>
      </x:c>
      <x:c r="C11" s="72" t="str">
        <x:v>6/17（月）</x:v>
      </x:c>
      <x:c r="D11" s="73"/>
      <x:c r="E11" s="73"/>
      <x:c r="F11" s="74"/>
      <x:c r="G11" s="59" t="s">
        <x:v>13</x:v>
      </x:c>
      <x:c r="H11" s="75" t="str">
        <x:v>AM</x:v>
      </x:c>
      <x:c r="I11" s="73"/>
      <x:c r="J11" s="73"/>
      <x:c r="K11" s="74"/>
    </x:row>
    <x:row r="12" ht="26.5">
      <x:c r="A12" s="70"/>
      <x:c r="B12" s="4" t="s">
        <x:v>14</x:v>
      </x:c>
      <x:c r="C12" s="76" t="str"/>
      <x:c r="D12" s="77"/>
      <x:c r="E12" s="77"/>
      <x:c r="F12" s="77"/>
      <x:c r="G12" s="77"/>
      <x:c r="H12" s="77"/>
      <x:c r="I12" s="77"/>
      <x:c r="J12" s="77"/>
      <x:c r="K12" s="87"/>
    </x:row>
    <x:row r="13" ht="26.5">
      <x:c r="A13" s="70"/>
      <x:c r="B13" s="4" t="s">
        <x:v>6</x:v>
      </x:c>
      <x:c r="C13" s="78" t="str">
        <x:v>群馬県伊勢崎市宮子町1-5-3</x:v>
      </x:c>
      <x:c r="D13" s="79"/>
      <x:c r="E13" s="79"/>
      <x:c r="F13" s="79"/>
      <x:c r="G13" s="79"/>
      <x:c r="H13" s="79"/>
      <x:c r="I13" s="79"/>
      <x:c r="J13" s="79"/>
      <x:c r="K13" s="145"/>
    </x:row>
    <x:row r="14" ht="26.5">
      <x:c r="A14" s="70"/>
      <x:c r="B14" s="4" t="s">
        <x:v>4</x:v>
      </x:c>
      <x:c r="C14" s="72" t="str"/>
      <x:c r="D14" s="73"/>
      <x:c r="E14" s="73"/>
      <x:c r="F14" s="74"/>
      <x:c r="G14" s="59" t="s">
        <x:v>15</x:v>
      </x:c>
      <x:c r="H14" s="60" t="str"/>
      <x:c r="I14" s="78"/>
      <x:c r="J14" s="79"/>
      <x:c r="K14" s="145"/>
    </x:row>
    <x:row r="15" ht="32" customHeight="1">
      <x:c r="A15" s="71"/>
      <x:c r="B15" s="4" t="s">
        <x:v>16</x:v>
      </x:c>
      <x:c r="C15" s="235"/>
      <x:c r="D15" s="236"/>
      <x:c r="E15" s="236"/>
      <x:c r="F15" s="236"/>
      <x:c r="G15" s="236"/>
      <x:c r="H15" s="236"/>
      <x:c r="I15" s="236"/>
      <x:c r="J15" s="236"/>
      <x:c r="K15" s="237"/>
      <x:c r="L15" s="194"/>
      <x:c r="M15" s="194"/>
      <x:c r="N15" s="194"/>
      <x:c r="O15" s="194"/>
    </x:row>
    <x:row r="16" ht="26.5">
      <x:c r="A16" s="6"/>
      <x:c r="B16" s="6"/>
      <x:c r="C16" s="6"/>
      <x:c r="D16" s="6"/>
      <x:c r="E16" s="6"/>
      <x:c r="F16" s="6"/>
      <x:c r="G16" s="6"/>
      <x:c r="H16" s="6"/>
      <x:c r="I16" s="6"/>
      <x:c r="J16" s="6"/>
      <x:c r="K16" s="6"/>
    </x:row>
    <x:row r="17" ht="26.5">
      <x:c r="A17" s="83" t="s">
        <x:v>17</x:v>
      </x:c>
      <x:c r="B17" s="4" t="s">
        <x:v>12</x:v>
      </x:c>
      <x:c r="C17" s="72" t="str"/>
      <x:c r="D17" s="73"/>
      <x:c r="E17" s="73"/>
      <x:c r="F17" s="74"/>
      <x:c r="G17" s="59" t="s">
        <x:v>13</x:v>
      </x:c>
      <x:c r="H17" s="75" t="str"/>
      <x:c r="I17" s="86"/>
      <x:c r="J17" s="86"/>
      <x:c r="K17" s="146"/>
    </x:row>
    <x:row r="18" ht="26.5">
      <x:c r="A18" s="84"/>
      <x:c r="B18" s="4" t="s">
        <x:v>14</x:v>
      </x:c>
      <x:c r="C18" s="76" t="str"/>
      <x:c r="D18" s="77"/>
      <x:c r="E18" s="77"/>
      <x:c r="F18" s="77"/>
      <x:c r="G18" s="77"/>
      <x:c r="H18" s="77"/>
      <x:c r="I18" s="77"/>
      <x:c r="J18" s="77"/>
      <x:c r="K18" s="87"/>
    </x:row>
    <x:row r="19" ht="26.5">
      <x:c r="A19" s="84"/>
      <x:c r="B19" s="4" t="s">
        <x:v>6</x:v>
      </x:c>
      <x:c r="C19" s="76" t="str">
        <x:v>埼玉県上尾市大谷本郷200-1</x:v>
      </x:c>
      <x:c r="D19" s="77"/>
      <x:c r="E19" s="77"/>
      <x:c r="F19" s="77"/>
      <x:c r="G19" s="77"/>
      <x:c r="H19" s="77"/>
      <x:c r="I19" s="77"/>
      <x:c r="J19" s="77"/>
      <x:c r="K19" s="87"/>
    </x:row>
    <x:row r="20" ht="26.5">
      <x:c r="A20" s="84"/>
      <x:c r="B20" s="4" t="s">
        <x:v>4</x:v>
      </x:c>
      <x:c r="C20" s="72" t="str">
        <x:v>高橋</x:v>
      </x:c>
      <x:c r="D20" s="73"/>
      <x:c r="E20" s="73"/>
      <x:c r="F20" s="74"/>
      <x:c r="G20" s="59" t="s">
        <x:v>15</x:v>
      </x:c>
      <x:c r="H20" s="60" t="str">
        <x:v>090-2222-8888</x:v>
      </x:c>
      <x:c r="I20" s="78"/>
      <x:c r="J20" s="79"/>
      <x:c r="K20" s="145"/>
    </x:row>
    <x:row r="21" ht="32" customHeight="1">
      <x:c r="A21" s="85"/>
      <x:c r="B21" s="7" t="s">
        <x:v>16</x:v>
      </x:c>
      <x:c r="C21" s="243"/>
      <x:c r="D21" s="244"/>
      <x:c r="E21" s="244"/>
      <x:c r="F21" s="244"/>
      <x:c r="G21" s="244"/>
      <x:c r="H21" s="244"/>
      <x:c r="I21" s="244"/>
      <x:c r="J21" s="244"/>
      <x:c r="K21" s="245"/>
      <x:c r="L21" s="194"/>
      <x:c r="M21" s="194"/>
      <x:c r="N21" s="194"/>
      <x:c r="O21" s="194"/>
    </x:row>
    <x:row r="22" ht="32" customHeight="1">
      <x:c r="A22" s="59" t="s">
        <x:v>18</x:v>
      </x:c>
      <x:c r="B22" s="60"/>
      <x:c r="C22" s="260" t="str">
        <x:v>家具（完成品）</x:v>
      </x:c>
      <x:c r="D22" s="261"/>
      <x:c r="E22" s="261"/>
      <x:c r="F22" s="261"/>
      <x:c r="G22" s="261"/>
      <x:c r="H22" s="261"/>
      <x:c r="I22" s="261"/>
      <x:c r="J22" s="261"/>
      <x:c r="K22" s="262"/>
      <x:c r="L22" s="194"/>
      <x:c r="M22" s="194"/>
      <x:c r="N22" s="194"/>
      <x:c r="O22" s="194"/>
    </x:row>
    <x:row r="23" ht="32" customHeight="1">
      <x:c r="A23" s="61" t="s">
        <x:v>18</x:v>
      </x:c>
      <x:c r="B23" s="63"/>
      <x:c r="C23" s="263" t="str">
        <x:v>8台</x:v>
      </x:c>
      <x:c r="D23" s="264"/>
      <x:c r="E23" s="264"/>
      <x:c r="F23" s="264"/>
      <x:c r="G23" s="264"/>
      <x:c r="H23" s="264"/>
      <x:c r="I23" s="264"/>
      <x:c r="J23" s="264"/>
      <x:c r="K23" s="265"/>
      <x:c r="L23" s="194"/>
      <x:c r="M23" s="194"/>
      <x:c r="N23" s="194"/>
      <x:c r="O23" s="194"/>
    </x:row>
    <x:row r="24" ht="32" customHeight="1">
      <x:c r="A24" s="64"/>
      <x:c r="B24" s="66"/>
      <x:c r="C24" s="266" t="str">
        <x:v>4tウイング</x:v>
      </x:c>
      <x:c r="D24" s="267"/>
      <x:c r="E24" s="267"/>
      <x:c r="F24" s="267"/>
      <x:c r="G24" s="267"/>
      <x:c r="H24" s="267"/>
      <x:c r="I24" s="267"/>
      <x:c r="J24" s="267"/>
      <x:c r="K24" s="268"/>
      <x:c r="L24" s="194"/>
      <x:c r="M24" s="194"/>
      <x:c r="N24" s="194"/>
      <x:c r="O24" s="194"/>
    </x:row>
    <x:row r="25" ht="32" customHeight="1">
      <x:c r="A25" s="8"/>
      <x:c r="B25" s="9"/>
      <x:c r="C25" s="167" t="str">
        <x:v>搬入手伝いあり。</x:v>
      </x:c>
      <x:c r="D25" s="167"/>
      <x:c r="E25" s="167"/>
      <x:c r="F25" s="167"/>
      <x:c r="G25" s="167"/>
      <x:c r="H25" s="167"/>
      <x:c r="I25" s="167"/>
      <x:c r="J25" s="167"/>
      <x:c r="K25" s="167"/>
      <x:c r="L25" s="194"/>
      <x:c r="M25" s="194"/>
      <x:c r="N25" s="194"/>
      <x:c r="O25" s="194"/>
    </x:row>
    <x:row r="26" ht="32" customHeight="1">
      <x:c r="A26" s="83" t="s">
        <x:v>19</x:v>
      </x:c>
      <x:c r="B26" s="91"/>
      <x:c r="C26" s="307" t="str">
        <x:v>積地→卸地</x:v>
      </x:c>
      <x:c r="D26" s="238" t="s">
        <x:v>20</x:v>
      </x:c>
      <x:c r="E26" s="250"/>
      <x:c r="F26" s="251"/>
      <x:c r="G26" s="252"/>
      <x:c r="H26" s="168" t="s">
        <x:v>20</x:v>
      </x:c>
      <x:c r="I26" s="308" t="s">
        <x:v>21</x:v>
      </x:c>
      <x:c r="J26" s="309"/>
      <x:c r="K26" s="310"/>
      <x:c r="L26" s="194"/>
      <x:c r="M26" s="194"/>
      <x:c r="N26" s="194"/>
      <x:c r="O26" s="194"/>
    </x:row>
    <x:row r="27">
      <x:c r="A27" s="85"/>
      <x:c r="B27" s="93"/>
      <x:c r="C27" s="94"/>
      <x:c r="D27" s="85"/>
      <x:c r="E27" s="98"/>
      <x:c r="F27" s="99"/>
      <x:c r="G27" s="100"/>
      <x:c r="H27" s="12" t="s">
        <x:v>22</x:v>
      </x:c>
      <x:c r="I27" s="103"/>
      <x:c r="J27" s="104"/>
      <x:c r="K27" s="148"/>
    </x:row>
    <x:row r="28" ht="22">
      <x:c r="A28" s="14"/>
      <x:c r="B28" s="15"/>
      <x:c r="C28" s="10"/>
      <x:c r="D28" s="10"/>
      <x:c r="E28" s="10"/>
      <x:c r="F28" s="10"/>
      <x:c r="G28" s="10"/>
      <x:c r="H28" s="10"/>
      <x:c r="I28" s="10"/>
      <x:c r="J28" s="10"/>
      <x:c r="K28" s="10"/>
    </x:row>
    <x:row r="29">
      <x:c r="A29" s="114" t="s">
        <x:v>23</x:v>
      </x:c>
      <x:c r="B29" s="115"/>
      <x:c r="C29" s="114" t="s">
        <x:v>24</x:v>
      </x:c>
      <x:c r="D29" s="116"/>
      <x:c r="E29" s="116" t="s">
        <x:v>25</x:v>
      </x:c>
      <x:c r="F29" s="116"/>
      <x:c r="G29" s="116"/>
      <x:c r="H29" s="116"/>
      <x:c r="I29" s="116" t="s">
        <x:v>26</x:v>
      </x:c>
      <x:c r="J29" s="116"/>
      <x:c r="K29" s="115"/>
    </x:row>
    <x:row r="30">
      <x:c r="A30" s="114" t="s">
        <x:v>27</x:v>
      </x:c>
      <x:c r="B30" s="115"/>
      <x:c r="C30" s="114" t="s">
        <x:v>24</x:v>
      </x:c>
      <x:c r="D30" s="116"/>
      <x:c r="E30" s="116" t="s">
        <x:v>25</x:v>
      </x:c>
      <x:c r="F30" s="116"/>
      <x:c r="G30" s="116"/>
      <x:c r="H30" s="116"/>
      <x:c r="I30" s="116" t="s">
        <x:v>26</x:v>
      </x:c>
      <x:c r="J30" s="116"/>
      <x:c r="K30" s="115"/>
    </x:row>
    <x:row r="31" ht="32.5">
      <x:c r="A31" s="5"/>
      <x:c r="B31" s="5"/>
      <x:c r="C31" s="16"/>
      <x:c r="D31" s="16"/>
      <x:c r="E31" s="16"/>
      <x:c r="F31" s="16"/>
      <x:c r="G31" s="16"/>
      <x:c r="H31" s="16"/>
      <x:c r="I31" s="16"/>
      <x:c r="J31" s="16"/>
      <x:c r="K31" s="17"/>
    </x:row>
    <x:row r="32" ht="19.5">
      <x:c r="A32" s="114" t="s">
        <x:v>28</x:v>
      </x:c>
      <x:c r="B32" s="115"/>
      <x:c r="C32" s="117" t="s">
        <x:v>29</x:v>
      </x:c>
      <x:c r="D32" s="118"/>
      <x:c r="E32" s="118"/>
      <x:c r="F32" s="119"/>
      <x:c r="G32" s="114" t="s">
        <x:v>30</x:v>
      </x:c>
      <x:c r="H32" s="115"/>
      <x:c r="I32" s="114" t="s">
        <x:v>31</x:v>
      </x:c>
      <x:c r="J32" s="116"/>
      <x:c r="K32" s="115"/>
    </x:row>
    <x:row r="33" ht="32.5">
      <x:c r="A33" s="114" t="s">
        <x:v>32</x:v>
      </x:c>
      <x:c r="B33" s="115"/>
      <x:c r="C33" s="117" t="s">
        <x:v>29</x:v>
      </x:c>
      <x:c r="D33" s="118"/>
      <x:c r="E33" s="118"/>
      <x:c r="F33" s="119"/>
      <x:c r="G33" s="120"/>
      <x:c r="H33" s="121"/>
      <x:c r="I33" s="149"/>
      <x:c r="J33" s="149"/>
      <x:c r="K33" s="150"/>
    </x:row>
    <x:row r="34" ht="19.5">
      <x:c r="A34" s="114" t="s">
        <x:v>33</x:v>
      </x:c>
      <x:c r="B34" s="115"/>
      <x:c r="C34" s="117" t="s">
        <x:v>29</x:v>
      </x:c>
      <x:c r="D34" s="118"/>
      <x:c r="E34" s="118"/>
      <x:c r="F34" s="119"/>
      <x:c r="G34" s="114" t="s">
        <x:v>34</x:v>
      </x:c>
      <x:c r="H34" s="116"/>
      <x:c r="I34" s="116"/>
      <x:c r="J34" s="116"/>
      <x:c r="K34" s="115"/>
    </x:row>
    <x:row r="35" ht="19.5">
      <x:c r="A35" s="114" t="s">
        <x:v>35</x:v>
      </x:c>
      <x:c r="B35" s="115"/>
      <x:c r="C35" s="117" t="s">
        <x:v>29</x:v>
      </x:c>
      <x:c r="D35" s="118"/>
      <x:c r="E35" s="118"/>
      <x:c r="F35" s="119"/>
      <x:c r="G35" s="114" t="s">
        <x:v>36</x:v>
      </x:c>
      <x:c r="H35" s="116"/>
      <x:c r="I35" s="116"/>
      <x:c r="J35" s="116"/>
      <x:c r="K35" s="115"/>
    </x:row>
    <x:row r="36">
      <x:c r="A36" s="131" t="s">
        <x:v>37</x:v>
      </x:c>
      <x:c r="B36" s="131"/>
      <x:c r="C36" s="131"/>
      <x:c r="D36" s="131"/>
      <x:c r="E36" s="131"/>
      <x:c r="F36" s="131"/>
      <x:c r="G36" s="131"/>
      <x:c r="H36" s="131"/>
      <x:c r="I36" s="131"/>
      <x:c r="J36" s="131"/>
      <x:c r="K36" s="131"/>
    </x:row>
    <x:row r="37" ht="22">
      <x:c r="A37" s="14"/>
      <x:c r="B37" s="15"/>
      <x:c r="C37" s="10"/>
      <x:c r="D37" s="10"/>
      <x:c r="E37" s="10"/>
      <x:c r="F37" s="10"/>
      <x:c r="G37" s="10"/>
      <x:c r="H37" s="10"/>
      <x:c r="I37" s="10"/>
      <x:c r="J37" s="10"/>
      <x:c r="K37" s="10"/>
    </x:row>
    <x:row r="38">
      <x:c r="A38" s="114" t="s">
        <x:v>38</x:v>
      </x:c>
      <x:c r="B38" s="116"/>
      <x:c r="C38" s="115"/>
      <x:c r="D38" s="114" t="s">
        <x:v>39</x:v>
      </x:c>
      <x:c r="E38" s="116"/>
      <x:c r="F38" s="116"/>
      <x:c r="G38" s="116"/>
      <x:c r="H38" s="116"/>
      <x:c r="I38" s="115"/>
      <x:c r="J38" s="114" t="s">
        <x:v>40</x:v>
      </x:c>
      <x:c r="K38" s="115"/>
    </x:row>
    <x:row r="39">
      <x:c r="A39" s="1"/>
      <x:c r="B39" s="1"/>
      <x:c r="C39" s="1"/>
      <x:c r="D39" s="1"/>
      <x:c r="E39" s="1"/>
      <x:c r="F39" s="1"/>
      <x:c r="G39" s="1"/>
      <x:c r="H39" s="1"/>
      <x:c r="I39" s="1"/>
      <x:c r="J39" s="1"/>
      <x:c r="K39" s="1"/>
    </x:row>
    <x:row r="40">
      <x:c r="A40" s="132" t="s">
        <x:v>41</x:v>
      </x:c>
      <x:c r="B40" s="132"/>
      <x:c r="C40" s="132"/>
      <x:c r="D40" s="132"/>
      <x:c r="E40" s="132"/>
      <x:c r="F40" s="132"/>
      <x:c r="G40" s="132"/>
      <x:c r="H40" s="132"/>
      <x:c r="I40" s="132"/>
      <x:c r="J40" s="132"/>
      <x:c r="K40" s="132"/>
    </x:row>
    <x:row r="41">
      <x:c r="A41" s="133" t="s">
        <x:v>42</x:v>
      </x:c>
      <x:c r="B41" s="134"/>
      <x:c r="C41" s="134"/>
      <x:c r="D41" s="134"/>
      <x:c r="E41" s="134"/>
      <x:c r="F41" s="134"/>
      <x:c r="G41" s="134"/>
      <x:c r="H41" s="134"/>
      <x:c r="I41" s="134"/>
      <x:c r="J41" s="134"/>
      <x:c r="K41" s="151"/>
    </x:row>
    <x:row r="42">
      <x:c r="A42" s="122" t="s">
        <x:v>43</x:v>
      </x:c>
      <x:c r="B42" s="123"/>
      <x:c r="C42" s="124"/>
      <x:c r="D42" s="129" t="s">
        <x:v>19</x:v>
      </x:c>
      <x:c r="E42" s="130"/>
      <x:c r="F42" s="122" t="s">
        <x:v>44</x:v>
      </x:c>
      <x:c r="G42" s="124"/>
      <x:c r="H42" s="122" t="s">
        <x:v>45</x:v>
      </x:c>
      <x:c r="I42" s="124"/>
      <x:c r="J42" s="122" t="s">
        <x:v>46</x:v>
      </x:c>
      <x:c r="K42" s="124"/>
    </x:row>
    <x:row r="43">
      <x:c r="A43" s="122"/>
      <x:c r="B43" s="123"/>
      <x:c r="C43" s="124"/>
      <x:c r="D43" s="125"/>
      <x:c r="E43" s="126"/>
      <x:c r="F43" s="122"/>
      <x:c r="G43" s="124"/>
      <x:c r="H43" s="127"/>
      <x:c r="I43" s="128"/>
      <x:c r="J43" s="127"/>
      <x:c r="K43" s="128"/>
    </x:row>
    <x:row r="44">
      <x:c r="A44" s="21"/>
      <x:c r="B44" s="152"/>
      <x:c r="C44" s="152"/>
      <x:c r="D44" s="152"/>
      <x:c r="E44" s="152"/>
      <x:c r="F44" s="152"/>
      <x:c r="G44" s="152"/>
      <x:c r="H44" s="152"/>
      <x:c r="I44" s="152"/>
      <x:c r="J44" s="152"/>
      <x:c r="K44" s="22"/>
    </x:row>
    <x:row r="45">
      <x:c r="A45" s="18" t="s">
        <x:v>47</x:v>
      </x:c>
      <x:c r="B45" s="19"/>
      <x:c r="C45" s="19"/>
      <x:c r="D45" s="19"/>
      <x:c r="E45" s="19"/>
      <x:c r="F45" s="19"/>
      <x:c r="G45" s="19"/>
      <x:c r="H45" s="19"/>
      <x:c r="I45" s="19"/>
      <x:c r="J45" s="19"/>
      <x:c r="K45" s="20"/>
    </x:row>
    <x:row r="46">
      <x:c r="A46" s="21"/>
      <x:c r="B46" s="152"/>
      <x:c r="C46" s="152"/>
      <x:c r="D46" s="152"/>
      <x:c r="E46" s="152"/>
      <x:c r="F46" s="152"/>
      <x:c r="G46" s="152"/>
      <x:c r="H46" s="152"/>
      <x:c r="I46" s="152"/>
      <x:c r="J46" s="152"/>
      <x:c r="K46" s="22"/>
    </x:row>
    <x:row r="47">
      <x:c r="A47" s="135" t="s">
        <x:v>48</x:v>
      </x:c>
      <x:c r="B47" s="153"/>
      <x:c r="C47" s="136"/>
      <x:c r="D47" s="137" t="s">
        <x:v>49</x:v>
      </x:c>
      <x:c r="E47" s="138"/>
      <x:c r="F47" s="154" t="s">
        <x:v>50</x:v>
      </x:c>
      <x:c r="G47" s="154"/>
      <x:c r="H47" s="152"/>
      <x:c r="I47" s="152"/>
      <x:c r="J47" s="152"/>
      <x:c r="K47" s="22"/>
    </x:row>
    <x:row r="48">
      <x:c r="A48" s="139" t="s">
        <x:v>51</x:v>
      </x:c>
      <x:c r="B48" s="155"/>
      <x:c r="C48" s="155"/>
      <x:c r="D48" s="155"/>
      <x:c r="E48" s="155"/>
      <x:c r="F48" s="155"/>
      <x:c r="G48" s="155"/>
      <x:c r="H48" s="155"/>
      <x:c r="I48" s="155"/>
      <x:c r="J48" s="155"/>
      <x:c r="K48" s="156"/>
    </x:row>
    <x:row r="49">
      <x:c r="A49" s="25"/>
      <x:c r="B49" s="26"/>
      <x:c r="C49" s="26"/>
      <x:c r="D49" s="26"/>
      <x:c r="E49" s="26"/>
      <x:c r="F49" s="26"/>
      <x:c r="G49" s="26"/>
      <x:c r="H49" s="26"/>
      <x:c r="I49" s="26"/>
      <x:c r="J49" s="26"/>
      <x:c r="K49" s="27"/>
    </x:row>
    <x:row r="50">
      <x:c r="A50" s="23"/>
      <x:c r="B50" s="15"/>
      <x:c r="C50" s="15"/>
      <x:c r="D50" s="24"/>
      <x:c r="E50" s="24"/>
      <x:c r="F50" s="13"/>
      <x:c r="G50" s="13"/>
      <x:c r="H50" s="1"/>
      <x:c r="I50" s="1"/>
      <x:c r="J50" s="1"/>
      <x:c r="K50" s="22"/>
    </x:row>
    <x:row r="51" ht="32.5">
      <x:c r="A51" s="28" t="s">
        <x:v>52</x:v>
      </x:c>
      <x:c r="B51" s="30"/>
      <x:c r="C51" s="16"/>
      <x:c r="D51" s="16"/>
      <x:c r="E51" s="16"/>
      <x:c r="F51" s="16"/>
      <x:c r="G51" s="16"/>
      <x:c r="H51" s="16"/>
      <x:c r="I51" s="16"/>
      <x:c r="J51" s="1"/>
      <x:c r="K51" s="22"/>
    </x:row>
    <x:row r="52" ht="32.5">
      <x:c r="A52" s="31"/>
      <x:c r="B52" s="29" t="s">
        <x:v>53</x:v>
      </x:c>
      <x:c r="C52" s="16"/>
      <x:c r="D52" s="16"/>
      <x:c r="E52" s="16"/>
      <x:c r="F52" s="16"/>
      <x:c r="G52" s="16"/>
      <x:c r="H52" s="16"/>
      <x:c r="I52" s="16"/>
      <x:c r="J52" s="1"/>
      <x:c r="K52" s="22"/>
    </x:row>
    <x:row r="53" ht="24.5">
      <x:c r="A53" s="31"/>
      <x:c r="B53" s="140" t="s">
        <x:v>54</x:v>
      </x:c>
      <x:c r="C53" s="140"/>
      <x:c r="D53" s="140"/>
      <x:c r="E53" s="140"/>
      <x:c r="F53" s="140"/>
      <x:c r="G53" s="140"/>
      <x:c r="H53" s="141"/>
      <x:c r="I53" s="141"/>
      <x:c r="J53" s="32"/>
      <x:c r="K53" s="22"/>
    </x:row>
    <x:row r="54">
      <x:c r="A54" s="33"/>
      <x:c r="B54" s="34"/>
      <x:c r="C54" s="34"/>
      <x:c r="D54" s="35"/>
      <x:c r="E54" s="35"/>
      <x:c r="F54" s="36"/>
      <x:c r="G54" s="36"/>
      <x:c r="H54" s="26"/>
      <x:c r="I54" s="26"/>
      <x:c r="J54" s="26"/>
      <x:c r="K54" s="27"/>
    </x:row>
  </x:sheetData>
  <x:mergeCells>
    <x:mergeCell ref="A47:C47"/>
    <x:mergeCell ref="D47:E47"/>
    <x:mergeCell ref="A48:K48"/>
    <x:mergeCell ref="B53:G53"/>
    <x:mergeCell ref="H53:I53"/>
    <x:mergeCell ref="J7:K9"/>
    <x:mergeCell ref="A42:C42"/>
    <x:mergeCell ref="D42:E42"/>
    <x:mergeCell ref="F42:G42"/>
    <x:mergeCell ref="H42:I42"/>
    <x:mergeCell ref="J42:K42"/>
    <x:mergeCell ref="A36:K36"/>
    <x:mergeCell ref="A38:C38"/>
    <x:mergeCell ref="D38:I38"/>
    <x:mergeCell ref="J38:K38"/>
    <x:mergeCell ref="A40:K40"/>
    <x:mergeCell ref="A41:K41"/>
    <x:mergeCell ref="A34:B34"/>
    <x:mergeCell ref="C34:F34"/>
    <x:mergeCell ref="G34:K34"/>
    <x:mergeCell ref="A35:B35"/>
    <x:mergeCell ref="A43:C43"/>
    <x:mergeCell ref="D43:E43"/>
    <x:mergeCell ref="F43:G43"/>
    <x:mergeCell ref="H43:I43"/>
    <x:mergeCell ref="J43:K43"/>
    <x:mergeCell ref="C35:F35"/>
    <x:mergeCell ref="G35:K35"/>
    <x:mergeCell ref="A32:B32"/>
    <x:mergeCell ref="C32:F32"/>
    <x:mergeCell ref="G32:H32"/>
    <x:mergeCell ref="I32:K32"/>
    <x:mergeCell ref="A33:B33"/>
    <x:mergeCell ref="C33:F33"/>
    <x:mergeCell ref="G33:H33"/>
    <x:mergeCell ref="A29:B29"/>
    <x:mergeCell ref="C29:D29"/>
    <x:mergeCell ref="E29:H29"/>
    <x:mergeCell ref="I29:K29"/>
    <x:mergeCell ref="A30:B30"/>
    <x:mergeCell ref="C30:D30"/>
    <x:mergeCell ref="E30:H30"/>
    <x:mergeCell ref="I30:K30"/>
    <x:mergeCell ref="A22:B22"/>
    <x:mergeCell ref="C22:K22"/>
    <x:mergeCell ref="A23:B24"/>
    <x:mergeCell ref="C23:K23"/>
    <x:mergeCell ref="C24:K24"/>
    <x:mergeCell ref="A26:A27"/>
    <x:mergeCell ref="B26:C27"/>
    <x:mergeCell ref="D26:D27"/>
    <x:mergeCell ref="E26:G27"/>
    <x:mergeCell ref="I26:K27"/>
    <x:mergeCell ref="A17:A21"/>
    <x:mergeCell ref="C17:F17"/>
    <x:mergeCell ref="G17:H17"/>
    <x:mergeCell ref="I17:K17"/>
    <x:mergeCell ref="C18:K18"/>
    <x:mergeCell ref="C19:K19"/>
    <x:mergeCell ref="C20:F20"/>
    <x:mergeCell ref="G20:H20"/>
    <x:mergeCell ref="I20:K20"/>
    <x:mergeCell ref="C21:K21"/>
    <x:mergeCell ref="A11:A15"/>
    <x:mergeCell ref="C11:F11"/>
    <x:mergeCell ref="G11:H11"/>
    <x:mergeCell ref="I11:K11"/>
    <x:mergeCell ref="C12:K12"/>
    <x:mergeCell ref="C13:K13"/>
    <x:mergeCell ref="C14:F14"/>
    <x:mergeCell ref="G14:H14"/>
    <x:mergeCell ref="I14:K14"/>
    <x:mergeCell ref="C15:K15"/>
    <x:mergeCell ref="A7:A9"/>
    <x:mergeCell ref="B7:B9"/>
    <x:mergeCell ref="C7:G9"/>
    <x:mergeCell ref="H7:H9"/>
    <x:mergeCell ref="I7:I9"/>
    <x:mergeCell ref="A1:K1"/>
    <x:mergeCell ref="J2:K2"/>
    <x:mergeCell ref="A3:A6"/>
    <x:mergeCell ref="B3:B4"/>
    <x:mergeCell ref="C3:H4"/>
    <x:mergeCell ref="J3:K3"/>
    <x:mergeCell ref="J4:K4"/>
    <x:mergeCell ref="B5:B6"/>
    <x:mergeCell ref="C5:H6"/>
    <x:mergeCell ref="J5:K5"/>
    <x:mergeCell ref="J6:K6"/>
  </x:mergeCells>
  <x:pageMargins left="0.7" right="0.7" top="0.75" bottom="0.75" header="0.3" footer="0.3"/>
</x:worksheet>
</file>

<file path=xl/worksheets/sheet2.xml><?xml version="1.0" encoding="utf-8"?>
<x:worksheet xmlns:x="http://schemas.openxmlformats.org/spreadsheetml/2006/main">
  <x:sheetFormatPr defaultRowHeight="18"/>
  <x:cols>
    <x:col min="1" max="1" width="6" customWidth="1"/>
    <x:col min="2" max="2" width="12" customWidth="1"/>
    <x:col min="3" max="3" width="10" customWidth="1"/>
    <x:col min="4" max="4" width="9" customWidth="1"/>
    <x:col min="5" max="5" width="30" customWidth="1"/>
    <x:col min="6" max="7" width="14" customWidth="1"/>
    <x:col min="8" max="9" width="12" customWidth="1"/>
    <x:col min="10" max="12" width="14" customWidth="1"/>
    <x:col min="13" max="13" width="12" customWidth="1"/>
    <x:col min="14" max="16" width="14" customWidth="1"/>
    <x:col min="17" max="17" width="11" customWidth="1"/>
    <x:col min="18" max="18" width="14" customWidth="1"/>
    <x:col min="19" max="21" width="15" customWidth="1"/>
    <x:col min="22" max="22" width="28" customWidth="1"/>
    <x:col min="23" max="23" width="18" customWidth="1"/>
    <x:col min="24" max="24" width="16" customWidth="1"/>
    <x:col min="25" max="25" width="10" customWidth="1"/>
    <x:col min="26" max="26" width="32" customWidth="1"/>
    <x:col min="27" max="29" width="20" customWidth="1"/>
    <x:col min="30" max="30" width="18" customWidth="1"/>
    <x:col min="31" max="33" width="20" customWidth="1"/>
    <x:col min="34" max="34" width="22" customWidth="1"/>
    <x:col min="35" max="35" width="14" customWidth="1"/>
    <x:col min="36" max="36" width="12" customWidth="1"/>
    <x:col min="37" max="38" width="18" customWidth="1"/>
    <x:col min="39" max="39" width="30" customWidth="1"/>
    <x:col min="40" max="40" width="24" customWidth="1"/>
    <x:col min="41" max="41" width="28" customWidth="1"/>
    <x:col min="42" max="42" width="34" customWidth="1"/>
    <x:col min="43" max="43" width="54" customWidth="1"/>
    <x:col min="44" max="44" width="58" customWidth="1"/>
    <x:col min="45" max="45" width="24" customWidth="1"/>
    <x:col min="46" max="46" width="46" customWidth="1"/>
    <x:col min="47" max="47" width="28" customWidth="1"/>
    <x:col min="48" max="48" width="15" customWidth="1"/>
  </x:cols>
  <x:sheetData>
    <x:row r="1" s="142" customFormat="1" ht="26.5">
      <x:c r="A1" s="142" t="s">
        <x:v>55</x:v>
      </x:c>
    </x:row>
    <x:row r="2">
      <x:c r="A2" s="38"/>
      <x:c r="B2" s="38"/>
      <x:c r="C2" s="38"/>
      <x:c r="D2" s="38"/>
      <x:c r="E2" s="38"/>
      <x:c r="F2" s="38"/>
      <x:c r="G2" s="38"/>
      <x:c r="H2" s="38"/>
      <x:c r="I2" s="38"/>
      <x:c r="J2" s="38"/>
      <x:c r="K2" s="38"/>
      <x:c r="L2" s="38"/>
      <x:c r="M2" s="38"/>
      <x:c r="N2" s="38"/>
      <x:c r="O2" s="38"/>
      <x:c r="P2" s="38"/>
      <x:c r="Q2" s="38"/>
      <x:c r="R2" s="38"/>
      <x:c r="S2" s="38"/>
      <x:c r="T2" s="38"/>
      <x:c r="U2" s="38"/>
      <x:c r="V2" s="38"/>
      <x:c r="W2" s="38"/>
      <x:c r="X2" s="38"/>
      <x:c r="Y2" s="38"/>
      <x:c r="Z2" s="38"/>
      <x:c r="AA2" s="38"/>
      <x:c r="AB2" s="38"/>
      <x:c r="AC2" s="38"/>
      <x:c r="AD2" s="38"/>
      <x:c r="AE2" s="38"/>
      <x:c r="AF2" s="38"/>
      <x:c r="AG2" s="38"/>
      <x:c r="AH2" s="38"/>
      <x:c r="AI2" s="38"/>
      <x:c r="AJ2" s="38"/>
      <x:c r="AK2" s="38"/>
      <x:c r="AL2" s="38"/>
      <x:c r="AM2" s="38"/>
      <x:c r="AN2" s="38"/>
      <x:c r="AO2" s="38"/>
      <x:c r="AP2" s="38"/>
      <x:c r="AQ2" s="38"/>
      <x:c r="AR2" s="38"/>
      <x:c r="AS2" s="38"/>
      <x:c r="AT2" s="38"/>
      <x:c r="AU2" s="38"/>
      <x:c r="AV2" s="38"/>
    </x:row>
    <x:row r="3" ht="36">
      <x:c r="A3" s="38" t="s">
        <x:v>56</x:v>
      </x:c>
      <x:c r="B3" s="38" t="s">
        <x:v>57</x:v>
      </x:c>
      <x:c r="C3" s="38" t="s">
        <x:v>58</x:v>
      </x:c>
      <x:c r="D3" s="38" t="s">
        <x:v>59</x:v>
      </x:c>
      <x:c r="E3" s="38" t="s">
        <x:v>60</x:v>
      </x:c>
      <x:c r="F3" s="38" t="s">
        <x:v>61</x:v>
      </x:c>
      <x:c r="G3" s="38" t="s">
        <x:v>62</x:v>
      </x:c>
      <x:c r="H3" s="38" t="s">
        <x:v>63</x:v>
      </x:c>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c r="AN3" s="38"/>
      <x:c r="AO3" s="38"/>
      <x:c r="AP3" s="38"/>
      <x:c r="AQ3" s="38"/>
      <x:c r="AR3" s="38"/>
      <x:c r="AS3" s="38"/>
      <x:c r="AT3" s="38"/>
      <x:c r="AU3" s="38"/>
      <x:c r="AV3" s="38"/>
    </x:row>
    <x:row r="4">
      <x:c r="A4" s="38" t="n">
        <x:f>COUNTA(C7:C106)</x:f>
        <x:v>90</x:v>
      </x:c>
      <x:c r="B4" s="38" t="n">
        <x:f>COUNTIF(Y7:Y106,"合格")</x:f>
        <x:v>0</x:v>
      </x:c>
      <x:c r="C4" s="38" t="n">
        <x:f>COUNTIF(Y7:Y106,"不合格")</x:f>
        <x:v>0</x:v>
      </x:c>
      <x:c r="D4" s="38" t="n">
        <x:f>IF(A4=0,"",B4/A4)</x:f>
        <x:v>0</x:v>
      </x:c>
      <x:c r="E4" s="38" t="n">
        <x:f>SUM(Q7:Q106)</x:f>
        <x:v>0</x:v>
      </x:c>
      <x:c r="F4" s="38" t="n">
        <x:f>SUM(R7:R106)</x:f>
        <x:v>0</x:v>
      </x:c>
      <x:c r="G4" s="38" t="n">
        <x:f>SUM(T7:T106)</x:f>
        <x:v>0</x:v>
      </x:c>
      <x:c r="H4" s="38" t="str">
        <x:f>IFERROR(AVERAGE(N7:N106),"")</x:f>
      </x:c>
      <x:c r="I4" s="38"/>
      <x:c r="J4" s="38"/>
      <x:c r="K4" s="38"/>
      <x:c r="L4" s="38"/>
      <x:c r="M4" s="38"/>
      <x:c r="N4" s="38"/>
      <x:c r="O4" s="38"/>
      <x:c r="P4" s="38"/>
      <x:c r="Q4" s="38"/>
      <x:c r="R4" s="38"/>
      <x:c r="S4" s="38"/>
      <x:c r="T4" s="38"/>
      <x:c r="U4" s="38"/>
      <x:c r="V4" s="38"/>
      <x:c r="W4" s="38"/>
      <x:c r="X4" s="38"/>
      <x:c r="Y4" s="38"/>
      <x:c r="Z4" s="38"/>
      <x:c r="AA4" s="38"/>
      <x:c r="AB4" s="38"/>
      <x:c r="AC4" s="38"/>
      <x:c r="AD4" s="38"/>
      <x:c r="AE4" s="38"/>
      <x:c r="AF4" s="38"/>
      <x:c r="AG4" s="38"/>
      <x:c r="AH4" s="38"/>
      <x:c r="AI4" s="38"/>
      <x:c r="AJ4" s="38"/>
      <x:c r="AK4" s="38"/>
      <x:c r="AL4" s="38"/>
      <x:c r="AM4" s="38"/>
      <x:c r="AN4" s="38"/>
      <x:c r="AO4" s="38"/>
      <x:c r="AP4" s="38"/>
      <x:c r="AQ4" s="38"/>
      <x:c r="AR4" s="38"/>
      <x:c r="AS4" s="38"/>
      <x:c r="AT4" s="38"/>
      <x:c r="AU4" s="38"/>
      <x:c r="AV4" s="38"/>
    </x:row>
    <x:row r="5">
      <x:c r="A5" s="38"/>
      <x:c r="B5" s="38"/>
      <x:c r="C5" s="38"/>
      <x:c r="D5" s="38"/>
      <x:c r="E5" s="38"/>
      <x:c r="F5" s="38"/>
      <x:c r="G5" s="38"/>
      <x:c r="H5" s="38"/>
      <x:c r="I5" s="38"/>
      <x:c r="J5" s="38"/>
      <x:c r="K5" s="38"/>
      <x:c r="L5" s="38"/>
      <x:c r="M5" s="38"/>
      <x:c r="N5" s="38"/>
      <x:c r="O5" s="38"/>
      <x:c r="P5" s="38"/>
      <x:c r="Q5" s="38"/>
      <x:c r="R5" s="38"/>
      <x:c r="S5" s="38"/>
      <x:c r="T5" s="38"/>
      <x:c r="U5" s="38"/>
      <x:c r="V5" s="38"/>
      <x:c r="W5" s="38"/>
      <x:c r="X5" s="38"/>
      <x:c r="Y5" s="38"/>
      <x:c r="Z5" s="38"/>
      <x:c r="AA5" s="38"/>
      <x:c r="AB5" s="38"/>
      <x:c r="AC5" s="38"/>
      <x:c r="AD5" s="38"/>
      <x:c r="AE5" s="38"/>
      <x:c r="AF5" s="38"/>
      <x:c r="AG5" s="38"/>
      <x:c r="AH5" s="38"/>
      <x:c r="AI5" s="38"/>
      <x:c r="AJ5" s="38"/>
      <x:c r="AK5" s="38"/>
      <x:c r="AL5" s="38"/>
      <x:c r="AM5" s="38"/>
      <x:c r="AN5" s="38"/>
      <x:c r="AO5" s="38"/>
      <x:c r="AP5" s="38"/>
      <x:c r="AQ5" s="38"/>
      <x:c r="AR5" s="38"/>
      <x:c r="AS5" s="38"/>
      <x:c r="AT5" s="38"/>
      <x:c r="AU5" s="38"/>
      <x:c r="AV5" s="38"/>
    </x:row>
    <x:row r="6" ht="17.649999618530273" customHeight="1">
      <x:c r="A6" s="40" t="s">
        <x:v>64</x:v>
      </x:c>
      <x:c r="B6" s="40" t="s">
        <x:v>65</x:v>
      </x:c>
      <x:c r="C6" s="40" t="s">
        <x:v>66</x:v>
      </x:c>
      <x:c r="D6" s="40" t="s">
        <x:v>67</x:v>
      </x:c>
      <x:c r="E6" s="40" t="s">
        <x:v>68</x:v>
      </x:c>
      <x:c r="F6" s="40" t="s">
        <x:v>69</x:v>
      </x:c>
      <x:c r="G6" s="40" t="s">
        <x:v>70</x:v>
      </x:c>
      <x:c r="H6" s="40" t="s">
        <x:v>71</x:v>
      </x:c>
      <x:c r="I6" s="40" t="s">
        <x:v>72</x:v>
      </x:c>
      <x:c r="J6" s="40" t="s">
        <x:v>73</x:v>
      </x:c>
      <x:c r="K6" s="40" t="s">
        <x:v>74</x:v>
      </x:c>
      <x:c r="L6" s="40" t="s">
        <x:v>75</x:v>
      </x:c>
      <x:c r="M6" s="40" t="s">
        <x:v>76</x:v>
      </x:c>
      <x:c r="N6" s="40" t="s">
        <x:v>77</x:v>
      </x:c>
      <x:c r="O6" s="40" t="s">
        <x:v>78</x:v>
      </x:c>
      <x:c r="P6" s="40" t="s">
        <x:v>79</x:v>
      </x:c>
      <x:c r="Q6" s="40" t="s">
        <x:v>80</x:v>
      </x:c>
      <x:c r="R6" s="40" t="s">
        <x:v>81</x:v>
      </x:c>
      <x:c r="S6" s="40" t="s">
        <x:v>82</x:v>
      </x:c>
      <x:c r="T6" s="40" t="s">
        <x:v>83</x:v>
      </x:c>
      <x:c r="U6" s="40" t="s">
        <x:v>84</x:v>
      </x:c>
      <x:c r="V6" s="40" t="s">
        <x:v>85</x:v>
      </x:c>
      <x:c r="W6" s="40" t="s">
        <x:v>86</x:v>
      </x:c>
      <x:c r="X6" s="40" t="s">
        <x:v>87</x:v>
      </x:c>
      <x:c r="Y6" s="40" t="s">
        <x:v>88</x:v>
      </x:c>
      <x:c r="Z6" s="40" t="s">
        <x:v>89</x:v>
      </x:c>
      <x:c r="AA6" s="40" t="s">
        <x:v>90</x:v>
      </x:c>
      <x:c r="AB6" s="40" t="s">
        <x:v>91</x:v>
      </x:c>
      <x:c r="AC6" s="40" t="s">
        <x:v>92</x:v>
      </x:c>
      <x:c r="AD6" s="40" t="s">
        <x:v>93</x:v>
      </x:c>
      <x:c r="AE6" s="40" t="s">
        <x:v>94</x:v>
      </x:c>
      <x:c r="AF6" s="40" t="s">
        <x:v>95</x:v>
      </x:c>
      <x:c r="AG6" s="40" t="s">
        <x:v>96</x:v>
      </x:c>
      <x:c r="AH6" s="40" t="s">
        <x:v>97</x:v>
      </x:c>
      <x:c r="AI6" s="40" t="s">
        <x:v>98</x:v>
      </x:c>
      <x:c r="AJ6" s="40" t="s">
        <x:v>99</x:v>
      </x:c>
      <x:c r="AK6" s="40" t="s">
        <x:v>100</x:v>
      </x:c>
      <x:c r="AL6" s="40" t="s">
        <x:v>101</x:v>
      </x:c>
      <x:c r="AM6" s="40" t="s">
        <x:v>102</x:v>
      </x:c>
      <x:c r="AN6" s="40" t="s">
        <x:v>103</x:v>
      </x:c>
      <x:c r="AO6" s="40" t="s">
        <x:v>104</x:v>
      </x:c>
      <x:c r="AP6" s="40" t="s">
        <x:v>105</x:v>
      </x:c>
      <x:c r="AQ6" s="40" t="s">
        <x:v>106</x:v>
      </x:c>
      <x:c r="AR6" s="40" t="s">
        <x:v>107</x:v>
      </x:c>
      <x:c r="AS6" s="40" t="s">
        <x:v>108</x:v>
      </x:c>
      <x:c r="AT6" s="40" t="s">
        <x:v>109</x:v>
      </x:c>
      <x:c r="AU6" s="40" t="s">
        <x:v>110</x:v>
      </x:c>
      <x:c r="AV6" s="40" t="s">
        <x:v>111</x:v>
      </x:c>
    </x:row>
    <x:row r="7" ht="17.649999618530273" customHeight="1">
      <x:c r="A7" s="38">
        <x:v>1</x:v>
      </x:c>
      <x:c r="B7" s="38" t="str">
        <x:v>2026/10/08</x:v>
      </x:c>
      <x:c r="C7" s="38" t="s">
        <x:v>112</x:v>
      </x:c>
      <x:c r="D7" s="38" t="str">
        <x:v>T01</x:v>
      </x:c>
      <x:c r="E7" s="38" t="str">
        <x:v>定型印字帳票</x:v>
      </x:c>
      <x:c r="F7" s="38" t="str">
        <x:v>東京都江東区</x:v>
      </x:c>
      <x:c r="G7" s="38" t="str">
        <x:v>宮城県仙台市宮城野区</x:v>
      </x:c>
      <x:c r="H7" s="38" t="str">
        <x:v>低</x:v>
      </x:c>
      <x:c r="I7" s="38" t="str">
        <x:v>なし</x:v>
      </x:c>
      <x:c r="J7" s="38" t="n">
        <x:v>15</x:v>
      </x:c>
      <x:c r="K7" s="38" t="n">
        <x:v>2.19</x:v>
      </x:c>
      <x:c r="L7" s="38"/>
      <x:c r="M7" s="38"/>
      <x:c r="N7" s="38"/>
      <x:c r="O7" s="38" t="n">
        <x:v>19</x:v>
      </x:c>
      <x:c r="P7" s="38" t="n">
        <x:v>0</x:v>
      </x:c>
      <x:c r="Q7" s="38" t="n">
        <x:v>0</x:v>
      </x:c>
      <x:c r="R7" s="38" t="n">
        <x:v>0</x:v>
      </x:c>
      <x:c r="S7" s="38" t="n">
        <x:v>0</x:v>
      </x:c>
      <x:c r="T7" s="38" t="n">
        <x:v>0</x:v>
      </x:c>
      <x:c r="U7" s="38" t="str">
        <x:v>成功</x:v>
      </x:c>
      <x:c r="V7" s="38"/>
      <x:c r="W7" s="38"/>
      <x:c r="X7" s="38"/>
      <x:c r="Y7" s="38"/>
      <x:c r="Z7" s="38" t="str">
        <x:v>AI工程完了・人最終確認待ち。AI事前比較：誤読0件、勝手な確定0件、順序誤り0件、禁止情報0件。難易度4/16点。 積地施設名と運賃は記載なし。荷主ヘッダーと金額は指示書に出力しない。</x:v>
      </x:c>
      <x:c r="AA7" s="38" t="str">
        <x:v>2026/10/08 14:20:40</x:v>
      </x:c>
      <x:c r="AB7" s="38" t="str">
        <x:v>2026/10/08 14:20:40</x:v>
      </x:c>
      <x:c r="AC7" s="38" t="str">
        <x:v>2026/10/08 14:21:10</x:v>
      </x:c>
      <x:c r="AD7" s="38" t="str">
        <x:v>0分30秒</x:v>
      </x:c>
      <x:c r="AE7" s="38" t="str">
        <x:v>2026/10/08 14:22:51</x:v>
      </x:c>
      <x:c r="AF7" s="38" t="str">
        <x:v>2026/10/08 14:22:47</x:v>
      </x:c>
      <x:c r="AG7" s="38" t="str">
        <x:v>2026/10/08 14:22:50</x:v>
      </x:c>
      <x:c r="AH7" s="38" t="str">
        <x:v>0分03秒</x:v>
      </x:c>
      <x:c r="AI7" s="38" t="n">
        <x:v>2</x:v>
      </x:c>
      <x:c r="AJ7" s="38" t="n">
        <x:v>0</x:v>
      </x:c>
      <x:c r="AK7" s="38" t="n">
        <x:v>0</x:v>
      </x:c>
      <x:c r="AL7" s="38" t="str">
        <x:v>反映済</x:v>
      </x:c>
      <x:c r="AM7" s="38" t="str">
        <x:v>固定読込：A19件／B0件／C2件／D0件。配車指示書Excel・PDF生成済。所要時間：2分12秒。AI事前比較では0件。人最終確認待ち。 原本確認メモ：積地施設名と運賃は記載なし。荷主ヘッダーと金額は指示書に出力しない。</x:v>
      </x:c>
      <x:c r="AN7" s="38" t="s">
        <x:v>113</x:v>
      </x:c>
      <x:c r="AO7" s="38" t="s">
        <x:v>114</x:v>
      </x:c>
      <x:c r="AP7" s="38" t="s">
        <x:v>115</x:v>
      </x:c>
      <x:c r="AQ7" s="38" t="s">
        <x:v>116</x:v>
      </x:c>
      <x:c r="AR7" s="38" t="s">
        <x:v>117</x:v>
      </x:c>
      <x:c r="AS7" s="38" t="s">
        <x:v>118</x:v>
      </x:c>
      <x:c r="AT7" s="38" t="s">
        <x:v>119</x:v>
      </x:c>
      <x:c r="AU7" s="38" t="s">
        <x:v>120</x:v>
      </x:c>
      <x:c r="AV7" s="38" t="s">
        <x:v>121</x:v>
      </x:c>
    </x:row>
    <x:row r="8" ht="17.649999618530273" customHeight="1">
      <x:c r="A8" s="38">
        <x:v>2</x:v>
      </x:c>
      <x:c r="B8" s="38" t="str">
        <x:v>2026/10/08</x:v>
      </x:c>
      <x:c r="C8" s="38" t="s">
        <x:v>122</x:v>
      </x:c>
      <x:c r="D8" s="38" t="str">
        <x:v>T02</x:v>
      </x:c>
      <x:c r="E8" s="38" t="str">
        <x:v>劣化FAX</x:v>
      </x:c>
      <x:c r="F8" s="38" t="str">
        <x:v>埼玉県春日部市</x:v>
      </x:c>
      <x:c r="G8" s="38" t="str">
        <x:v>岡山県岡山市北区</x:v>
      </x:c>
      <x:c r="H8" s="38" t="str">
        <x:v>中</x:v>
      </x:c>
      <x:c r="I8" s="38" t="str">
        <x:v>なし</x:v>
      </x:c>
      <x:c r="J8" s="38" t="n">
        <x:v>16</x:v>
      </x:c>
      <x:c r="K8" s="38" t="n">
        <x:v>1.88</x:v>
      </x:c>
      <x:c r="L8" s="38"/>
      <x:c r="M8" s="38"/>
      <x:c r="N8" s="38"/>
      <x:c r="O8" s="38" t="n">
        <x:v>19</x:v>
      </x:c>
      <x:c r="P8" s="38" t="n">
        <x:v>0</x:v>
      </x:c>
      <x:c r="Q8" s="38" t="n">
        <x:v>0</x:v>
      </x:c>
      <x:c r="R8" s="38" t="n">
        <x:v>0</x:v>
      </x:c>
      <x:c r="S8" s="38" t="n">
        <x:v>0</x:v>
      </x:c>
      <x:c r="T8" s="38" t="n">
        <x:v>0</x:v>
      </x:c>
      <x:c r="U8" s="38" t="str">
        <x:v>成功</x:v>
      </x:c>
      <x:c r="V8" s="38"/>
      <x:c r="W8" s="38"/>
      <x:c r="X8" s="38"/>
      <x:c r="Y8" s="38"/>
      <x:c r="Z8" s="38" t="str">
        <x:v>AI工程完了・人最終確認待ち。AI事前比較：誤読0件、勝手な確定0件、順序誤り0件、禁止情報0件。難易度6/16点。 送信元ヘッダーに明確な住所記載なし、運賃金額なし。劣化はあるが対象21項目の掲載文字を確認できた。</x:v>
      </x:c>
      <x:c r="AA8" s="38" t="str">
        <x:v>2026/10/08 14:23:23</x:v>
      </x:c>
      <x:c r="AB8" s="38" t="str">
        <x:v>2026/10/08 14:23:23</x:v>
      </x:c>
      <x:c r="AC8" s="38" t="str">
        <x:v>2026/10/08 14:24:27</x:v>
      </x:c>
      <x:c r="AD8" s="38" t="str">
        <x:v>1分04秒</x:v>
      </x:c>
      <x:c r="AE8" s="38" t="str">
        <x:v>2026/10/08 14:25:15</x:v>
      </x:c>
      <x:c r="AF8" s="38" t="str">
        <x:v>2026/10/08 14:25:12</x:v>
      </x:c>
      <x:c r="AG8" s="38" t="str">
        <x:v>2026/10/08 14:25:14</x:v>
      </x:c>
      <x:c r="AH8" s="38" t="str">
        <x:v>0分02秒</x:v>
      </x:c>
      <x:c r="AI8" s="38" t="n">
        <x:v>2</x:v>
      </x:c>
      <x:c r="AJ8" s="38" t="n">
        <x:v>0</x:v>
      </x:c>
      <x:c r="AK8" s="38" t="n">
        <x:v>0</x:v>
      </x:c>
      <x:c r="AL8" s="38" t="str">
        <x:v>反映済</x:v>
      </x:c>
      <x:c r="AM8" s="38" t="str">
        <x:v>固定読込：A19件／B0件／C2件／D0件。配車指示書Excel・PDF生成済。所要時間：1分53秒。AI事前比較では0件。人最終確認待ち。 原本確認メモ：送信元ヘッダーに明確な住所記載なし、運賃金額なし。劣化はあるが対象21項目の掲載文字を確認できた。</x:v>
      </x:c>
      <x:c r="AN8" s="38" t="s">
        <x:v>123</x:v>
      </x:c>
      <x:c r="AO8" s="38" t="s">
        <x:v>124</x:v>
      </x:c>
      <x:c r="AP8" s="38" t="s">
        <x:v>125</x:v>
      </x:c>
      <x:c r="AQ8" s="38" t="s">
        <x:v>126</x:v>
      </x:c>
      <x:c r="AR8" s="38" t="s">
        <x:v>127</x:v>
      </x:c>
      <x:c r="AS8" s="38" t="s">
        <x:v>118</x:v>
      </x:c>
      <x:c r="AT8" s="38" t="s">
        <x:v>128</x:v>
      </x:c>
      <x:c r="AU8" s="38" t="s">
        <x:v>129</x:v>
      </x:c>
      <x:c r="AV8" s="38" t="s">
        <x:v>130</x:v>
      </x:c>
    </x:row>
    <x:row r="9" ht="17.649999618530273" customHeight="1">
      <x:c r="A9" s="38">
        <x:v>3</x:v>
      </x:c>
      <x:c r="B9" s="38" t="str">
        <x:v>2026/10/08</x:v>
      </x:c>
      <x:c r="C9" s="38" t="s">
        <x:v>131</x:v>
      </x:c>
      <x:c r="D9" s="38" t="str">
        <x:v>T03</x:v>
      </x:c>
      <x:c r="E9" s="38" t="str">
        <x:v>全手書きメモ</x:v>
      </x:c>
      <x:c r="F9" s="38" t="str">
        <x:v>神奈川県川崎市川崎区</x:v>
      </x:c>
      <x:c r="G9" s="38" t="str">
        <x:v>静岡県富士市</x:v>
      </x:c>
      <x:c r="H9" s="38" t="str">
        <x:v>中</x:v>
      </x:c>
      <x:c r="I9" s="38" t="str">
        <x:v>なし</x:v>
      </x:c>
      <x:c r="J9" s="38" t="n">
        <x:v>16</x:v>
      </x:c>
      <x:c r="K9" s="38" t="n">
        <x:v>0.7</x:v>
      </x:c>
      <x:c r="L9" s="38"/>
      <x:c r="M9" s="38"/>
      <x:c r="N9" s="38"/>
      <x:c r="O9" s="38" t="n">
        <x:v>17</x:v>
      </x:c>
      <x:c r="P9" s="38" t="n">
        <x:v>0</x:v>
      </x:c>
      <x:c r="Q9" s="38" t="n">
        <x:v>0</x:v>
      </x:c>
      <x:c r="R9" s="38" t="n">
        <x:v>0</x:v>
      </x:c>
      <x:c r="S9" s="38" t="n">
        <x:v>0</x:v>
      </x:c>
      <x:c r="T9" s="38" t="n">
        <x:v>0</x:v>
      </x:c>
      <x:c r="U9" s="38" t="str">
        <x:v>成功</x:v>
      </x:c>
      <x:c r="V9" s="38"/>
      <x:c r="W9" s="38"/>
      <x:c r="X9" s="38"/>
      <x:c r="Y9" s="38"/>
      <x:c r="Z9" s="38" t="str">
        <x:v>AI工程完了・人最終確認待ち。AI事前比較：誤読0件、勝手な確定0件、順序誤り0件、禁止情報0件。難易度6/16点。 荷主ヘッダー・運賃情報なし。依頼者側担当と運送会社の連絡先は配車指示書の現地担当者として使わない。</x:v>
      </x:c>
      <x:c r="AA9" s="38" t="str">
        <x:v>2026/10/08 14:25:28</x:v>
      </x:c>
      <x:c r="AB9" s="38" t="str">
        <x:v>2026/10/08 14:25:28</x:v>
      </x:c>
      <x:c r="AC9" s="38" t="str">
        <x:v>2026/10/08 14:25:45</x:v>
      </x:c>
      <x:c r="AD9" s="38" t="str">
        <x:v>0分17秒</x:v>
      </x:c>
      <x:c r="AE9" s="38" t="str">
        <x:v>2026/10/08 14:26:09</x:v>
      </x:c>
      <x:c r="AF9" s="38" t="str">
        <x:v>2026/10/08 14:26:07</x:v>
      </x:c>
      <x:c r="AG9" s="38" t="str">
        <x:v>2026/10/08 14:26:09</x:v>
      </x:c>
      <x:c r="AH9" s="38" t="str">
        <x:v>0分02秒</x:v>
      </x:c>
      <x:c r="AI9" s="38" t="n">
        <x:v>4</x:v>
      </x:c>
      <x:c r="AJ9" s="38" t="n">
        <x:v>0</x:v>
      </x:c>
      <x:c r="AK9" s="38" t="n">
        <x:v>0</x:v>
      </x:c>
      <x:c r="AL9" s="38" t="str">
        <x:v>反映済</x:v>
      </x:c>
      <x:c r="AM9" s="38" t="str">
        <x:v>固定読込：A17件／B0件／C4件／D0件。配車指示書Excel・PDF生成済。所要時間：0分42秒。AI事前比較では0件。人最終確認待ち。 原本確認メモ：荷主ヘッダー・運賃情報なし。依頼者側担当と運送会社の連絡先は配車指示書の現地担当者として使わない。</x:v>
      </x:c>
      <x:c r="AN9" s="38" t="s">
        <x:v>132</x:v>
      </x:c>
      <x:c r="AO9" s="38" t="s">
        <x:v>133</x:v>
      </x:c>
      <x:c r="AP9" s="38" t="s">
        <x:v>134</x:v>
      </x:c>
      <x:c r="AQ9" s="38" t="s">
        <x:v>135</x:v>
      </x:c>
      <x:c r="AR9" s="38" t="s">
        <x:v>136</x:v>
      </x:c>
      <x:c r="AS9" s="38" t="s">
        <x:v>118</x:v>
      </x:c>
      <x:c r="AT9" s="38" t="s">
        <x:v>137</x:v>
      </x:c>
      <x:c r="AU9" s="38" t="s">
        <x:v>138</x:v>
      </x:c>
      <x:c r="AV9" s="38" t="s">
        <x:v>139</x:v>
      </x:c>
    </x:row>
    <x:row r="10" ht="17.649999618530273" customHeight="1">
      <x:c r="A10" s="38">
        <x:v>4</x:v>
      </x:c>
      <x:c r="B10" s="38" t="str">
        <x:v>2026/10/08</x:v>
      </x:c>
      <x:c r="C10" s="38" t="s">
        <x:v>140</x:v>
      </x:c>
      <x:c r="D10" s="38" t="str">
        <x:v>T07</x:v>
      </x:c>
      <x:c r="E10" s="38" t="str">
        <x:v>メール印刷＋手書き追記</x:v>
      </x:c>
      <x:c r="F10" s="38" t="str">
        <x:v>神奈川県厚木市</x:v>
      </x:c>
      <x:c r="G10" s="38" t="str">
        <x:v>宮城県仙台市宮城野区</x:v>
      </x:c>
      <x:c r="H10" s="38" t="str">
        <x:v>中</x:v>
      </x:c>
      <x:c r="I10" s="38" t="str">
        <x:v>なし</x:v>
      </x:c>
      <x:c r="J10" s="38" t="n">
        <x:v>15</x:v>
      </x:c>
      <x:c r="K10" s="38" t="n">
        <x:v>1.37</x:v>
      </x:c>
      <x:c r="L10" s="38"/>
      <x:c r="M10" s="38"/>
      <x:c r="N10" s="38"/>
      <x:c r="O10" s="38" t="n">
        <x:v>18</x:v>
      </x:c>
      <x:c r="P10" s="38" t="n">
        <x:v>0</x:v>
      </x:c>
      <x:c r="Q10" s="38" t="n">
        <x:v>0</x:v>
      </x:c>
      <x:c r="R10" s="38" t="n">
        <x:v>0</x:v>
      </x:c>
      <x:c r="S10" s="38" t="n">
        <x:v>0</x:v>
      </x:c>
      <x:c r="T10" s="38" t="n">
        <x:v>0</x:v>
      </x:c>
      <x:c r="U10" s="38" t="str">
        <x:v>成功</x:v>
      </x:c>
      <x:c r="V10" s="38"/>
      <x:c r="W10" s="38"/>
      <x:c r="X10" s="38"/>
      <x:c r="Y10" s="38"/>
      <x:c r="Z10" s="38" t="str">
        <x:v>AI工程完了・人最終確認待ち。AI事前比較：誤読0件、勝手な確定0件、順序誤り0件、禁止情報0件。難易度7/16点。 メール署名に荷主側連絡先あり。手書き追記は時間厳守、現地到着前・1時間前連絡。午前中の条件を保持。</x:v>
      </x:c>
      <x:c r="AA10" s="38" t="str">
        <x:v>2026/10/08 14:26:22</x:v>
      </x:c>
      <x:c r="AB10" s="38" t="str">
        <x:v>2026/10/08 14:26:22</x:v>
      </x:c>
      <x:c r="AC10" s="38" t="str">
        <x:v>2026/10/08 14:26:46</x:v>
      </x:c>
      <x:c r="AD10" s="38" t="str">
        <x:v>0分24秒</x:v>
      </x:c>
      <x:c r="AE10" s="38" t="str">
        <x:v>2026/10/08 14:27:44</x:v>
      </x:c>
      <x:c r="AF10" s="38" t="str">
        <x:v>2026/10/08 14:27:41</x:v>
      </x:c>
      <x:c r="AG10" s="38" t="str">
        <x:v>2026/10/08 14:27:43</x:v>
      </x:c>
      <x:c r="AH10" s="38" t="str">
        <x:v>0分02秒</x:v>
      </x:c>
      <x:c r="AI10" s="38" t="n">
        <x:v>3</x:v>
      </x:c>
      <x:c r="AJ10" s="38" t="n">
        <x:v>0</x:v>
      </x:c>
      <x:c r="AK10" s="38" t="n">
        <x:v>0</x:v>
      </x:c>
      <x:c r="AL10" s="38" t="str">
        <x:v>反映済</x:v>
      </x:c>
      <x:c r="AM10" s="38" t="str">
        <x:v>固定読込：A18件／B0件／C3件／D0件。配車指示書Excel・PDF生成済。所要時間：1分22秒。AI事前比較では0件。人最終確認待ち。 原本確認メモ：メール署名に荷主側連絡先あり。手書き追記は時間厳守、現地到着前・1時間前連絡。午前中の条件を保持。</x:v>
      </x:c>
      <x:c r="AN10" s="38" t="s">
        <x:v>141</x:v>
      </x:c>
      <x:c r="AO10" s="38" t="s">
        <x:v>142</x:v>
      </x:c>
      <x:c r="AP10" s="38" t="s">
        <x:v>143</x:v>
      </x:c>
      <x:c r="AQ10" s="38" t="s">
        <x:v>144</x:v>
      </x:c>
      <x:c r="AR10" s="38" t="s">
        <x:v>145</x:v>
      </x:c>
      <x:c r="AS10" s="38" t="s">
        <x:v>118</x:v>
      </x:c>
      <x:c r="AT10" s="38" t="s">
        <x:v>146</x:v>
      </x:c>
      <x:c r="AU10" s="38" t="s">
        <x:v>147</x:v>
      </x:c>
      <x:c r="AV10" s="38" t="s">
        <x:v>148</x:v>
      </x:c>
    </x:row>
    <x:row r="11" ht="17.649999618530273" customHeight="1">
      <x:c r="A11" s="38">
        <x:v>5</x:v>
      </x:c>
      <x:c r="B11" s="38" t="str">
        <x:v>2026/10/08</x:v>
      </x:c>
      <x:c r="C11" s="38" t="s">
        <x:v>149</x:v>
      </x:c>
      <x:c r="D11" s="38" t="str">
        <x:v>T07</x:v>
      </x:c>
      <x:c r="E11" s="38" t="str">
        <x:v>定型印字帳票＋手書き訂正</x:v>
      </x:c>
      <x:c r="F11" s="38" t="str">
        <x:v>神奈川県川崎市川崎区</x:v>
      </x:c>
      <x:c r="G11" s="38" t="str">
        <x:v>茨城県つくば市</x:v>
      </x:c>
      <x:c r="H11" s="38" t="str">
        <x:v>中</x:v>
      </x:c>
      <x:c r="I11" s="38" t="str">
        <x:v>なし</x:v>
      </x:c>
      <x:c r="J11" s="38" t="n">
        <x:v>14</x:v>
      </x:c>
      <x:c r="K11" s="38" t="n">
        <x:v>0.74</x:v>
      </x:c>
      <x:c r="L11" s="38"/>
      <x:c r="M11" s="38"/>
      <x:c r="N11" s="38"/>
      <x:c r="O11" s="38" t="n">
        <x:v>18</x:v>
      </x:c>
      <x:c r="P11" s="38" t="n">
        <x:v>0</x:v>
      </x:c>
      <x:c r="Q11" s="38" t="n">
        <x:v>0</x:v>
      </x:c>
      <x:c r="R11" s="38" t="n">
        <x:v>0</x:v>
      </x:c>
      <x:c r="S11" s="38" t="n">
        <x:v>0</x:v>
      </x:c>
      <x:c r="T11" s="38" t="n">
        <x:v>0</x:v>
      </x:c>
      <x:c r="U11" s="38" t="str">
        <x:v>成功</x:v>
      </x:c>
      <x:c r="V11" s="38"/>
      <x:c r="W11" s="38"/>
      <x:c r="X11" s="38"/>
      <x:c r="Y11" s="38"/>
      <x:c r="Z11" s="38" t="str">
        <x:v>AI工程完了・人最終確認待ち。AI事前比較：誤読0件、勝手な確定0件、順序誤り0件、禁止情報0件。難易度8/16点。 積時間は10:00を取消し9:00までに変更、数量は10を取消し12パレット。荷姿のパレット積みと積込バラ積みが矛盾するため注意事項は確定転記しない。卸日は記載なし。</x:v>
      </x:c>
      <x:c r="AA11" s="38" t="str">
        <x:v>2026/10/08 14:28:09</x:v>
      </x:c>
      <x:c r="AB11" s="38" t="str">
        <x:v>2026/10/08 14:28:09</x:v>
      </x:c>
      <x:c r="AC11" s="38" t="str">
        <x:v>2026/10/08 14:28:42</x:v>
      </x:c>
      <x:c r="AD11" s="38" t="str">
        <x:v>0分33秒</x:v>
      </x:c>
      <x:c r="AE11" s="38" t="str">
        <x:v>2026/10/08 14:28:53</x:v>
      </x:c>
      <x:c r="AF11" s="38" t="str">
        <x:v>2026/10/08 14:28:50</x:v>
      </x:c>
      <x:c r="AG11" s="38" t="str">
        <x:v>2026/10/08 14:28:52</x:v>
      </x:c>
      <x:c r="AH11" s="38" t="str">
        <x:v>0分02秒</x:v>
      </x:c>
      <x:c r="AI11" s="38" t="n">
        <x:v>2</x:v>
      </x:c>
      <x:c r="AJ11" s="38" t="n">
        <x:v>1</x:v>
      </x:c>
      <x:c r="AK11" s="38" t="n">
        <x:v>1</x:v>
      </x:c>
      <x:c r="AL11" s="38" t="str">
        <x:v>一部反映</x:v>
      </x:c>
      <x:c r="AM11" s="38" t="str">
        <x:v>固定読込：A18件／B0件／C2件／D1件。配車指示書Excel・PDF生成済。所要時間：0分44秒。AI事前比較では0件。人最終確認待ち。 要確認／矛盾は確定入力せず。 原本確認メモ：積時間は10:00を取消し9:00までに変更、数量は10を取消し12パレット。荷姿のパレット積みと積込バラ積みが矛盾するため注意事項は確定転記しない。卸日は記載なし。</x:v>
      </x:c>
      <x:c r="AN11" s="38" t="s">
        <x:v>141</x:v>
      </x:c>
      <x:c r="AO11" s="38" t="s">
        <x:v>150</x:v>
      </x:c>
      <x:c r="AP11" s="38" t="s">
        <x:v>143</x:v>
      </x:c>
      <x:c r="AQ11" s="38" t="s">
        <x:v>144</x:v>
      </x:c>
      <x:c r="AR11" s="38" t="s">
        <x:v>151</x:v>
      </x:c>
      <x:c r="AS11" s="38" t="s">
        <x:v>118</x:v>
      </x:c>
      <x:c r="AT11" s="38" t="s">
        <x:v>146</x:v>
      </x:c>
      <x:c r="AU11" s="38" t="s">
        <x:v>147</x:v>
      </x:c>
      <x:c r="AV11" s="38" t="s">
        <x:v>152</x:v>
      </x:c>
    </x:row>
    <x:row r="12" ht="17.649999618530273" customHeight="1">
      <x:c r="A12" s="38">
        <x:v>6</x:v>
      </x:c>
      <x:c r="B12" s="38" t="str">
        <x:v>2026/10/08</x:v>
      </x:c>
      <x:c r="C12" s="38" t="s">
        <x:v>153</x:v>
      </x:c>
      <x:c r="D12" s="38" t="str">
        <x:v>T02</x:v>
      </x:c>
      <x:c r="E12" s="38" t="str">
        <x:v>劣化FAX＋手書き記入</x:v>
      </x:c>
      <x:c r="F12" s="38" t="str">
        <x:v>千葉県市川市</x:v>
      </x:c>
      <x:c r="G12" s="38" t="str">
        <x:v>愛知県豊田市</x:v>
      </x:c>
      <x:c r="H12" s="38" t="str">
        <x:v>中</x:v>
      </x:c>
      <x:c r="I12" s="38" t="str">
        <x:v>なし</x:v>
      </x:c>
      <x:c r="J12" s="38" t="n">
        <x:v>12</x:v>
      </x:c>
      <x:c r="K12" s="38" t="n">
        <x:v>0.73</x:v>
      </x:c>
      <x:c r="L12" s="38"/>
      <x:c r="M12" s="38"/>
      <x:c r="N12" s="38"/>
      <x:c r="O12" s="38" t="n">
        <x:v>14</x:v>
      </x:c>
      <x:c r="P12" s="38" t="n">
        <x:v>3</x:v>
      </x:c>
      <x:c r="Q12" s="38" t="n">
        <x:v>0</x:v>
      </x:c>
      <x:c r="R12" s="38" t="n">
        <x:v>0</x:v>
      </x:c>
      <x:c r="S12" s="38" t="n">
        <x:v>0</x:v>
      </x:c>
      <x:c r="T12" s="38" t="n">
        <x:v>0</x:v>
      </x:c>
      <x:c r="U12" s="38" t="str">
        <x:v>成功</x:v>
      </x:c>
      <x:c r="V12" s="38"/>
      <x:c r="W12" s="38"/>
      <x:c r="X12" s="38"/>
      <x:c r="Y12" s="38"/>
      <x:c r="Z12" s="38" t="str">
        <x:v>AI工程完了・人最終確認待ち。AI事前比較：誤読0件、勝手な確定0件、順序誤り0件、禁止情報0件。難易度8/16点。 FAX劣化で荷主FAX、積地・卸地の電話番号を要確認とし転記しない。卸日と卸時間の記載なし。運賃の金額記載なし。</x:v>
      </x:c>
      <x:c r="AA12" s="38" t="str">
        <x:v>2026/10/08 14:29:06</x:v>
      </x:c>
      <x:c r="AB12" s="38" t="str">
        <x:v>2026/10/08 14:29:06</x:v>
      </x:c>
      <x:c r="AC12" s="38" t="str">
        <x:v>2026/10/08 14:29:29</x:v>
      </x:c>
      <x:c r="AD12" s="38" t="str">
        <x:v>0分23秒</x:v>
      </x:c>
      <x:c r="AE12" s="38" t="str">
        <x:v>2026/10/08 14:29:49</x:v>
      </x:c>
      <x:c r="AF12" s="38" t="str">
        <x:v>2026/10/08 14:29:46</x:v>
      </x:c>
      <x:c r="AG12" s="38" t="str">
        <x:v>2026/10/08 14:29:48</x:v>
      </x:c>
      <x:c r="AH12" s="38" t="str">
        <x:v>0分02秒</x:v>
      </x:c>
      <x:c r="AI12" s="38" t="n">
        <x:v>4</x:v>
      </x:c>
      <x:c r="AJ12" s="38" t="n">
        <x:v>0</x:v>
      </x:c>
      <x:c r="AK12" s="38" t="n">
        <x:v>3</x:v>
      </x:c>
      <x:c r="AL12" s="38" t="str">
        <x:v>一部反映</x:v>
      </x:c>
      <x:c r="AM12" s="38" t="str">
        <x:v>固定読込：A14件／B3件／C4件／D0件。配車指示書Excel・PDF生成済。所要時間：0分44秒。AI事前比較では0件。人最終確認待ち。 要確認／矛盾は確定入力せず。 原本確認メモ：FAX劣化で荷主FAX、積地・卸地の電話番号を要確認とし転記しない。卸日と卸時間の記載なし。運賃の金額記載なし。</x:v>
      </x:c>
      <x:c r="AN12" s="38" t="s">
        <x:v>123</x:v>
      </x:c>
      <x:c r="AO12" s="38" t="s">
        <x:v>154</x:v>
      </x:c>
      <x:c r="AP12" s="38" t="s">
        <x:v>125</x:v>
      </x:c>
      <x:c r="AQ12" s="38" t="s">
        <x:v>126</x:v>
      </x:c>
      <x:c r="AR12" s="38" t="s">
        <x:v>155</x:v>
      </x:c>
      <x:c r="AS12" s="38" t="s">
        <x:v>118</x:v>
      </x:c>
      <x:c r="AT12" s="38" t="s">
        <x:v>128</x:v>
      </x:c>
      <x:c r="AU12" s="38" t="s">
        <x:v>129</x:v>
      </x:c>
      <x:c r="AV12" s="38" t="s">
        <x:v>156</x:v>
      </x:c>
    </x:row>
    <x:row r="13" ht="17.649999618530273" customHeight="1">
      <x:c r="A13" s="38">
        <x:v>7</x:v>
      </x:c>
      <x:c r="B13" s="38" t="str">
        <x:v>2026/10/08</x:v>
      </x:c>
      <x:c r="C13" s="38" t="s">
        <x:v>157</x:v>
      </x:c>
      <x:c r="D13" s="38" t="str">
        <x:v>T05</x:v>
      </x:c>
      <x:c r="E13" s="38" t="str">
        <x:v>複数地点ルート表（印字）</x:v>
      </x:c>
      <x:c r="F13" s="38" t="str">
        <x:v>神奈川県厚木市／埼玉県加須市</x:v>
      </x:c>
      <x:c r="G13" s="38" t="str">
        <x:v>愛知県小牧市／大阪府摂津市</x:v>
      </x:c>
      <x:c r="H13" s="38" t="str">
        <x:v>中</x:v>
      </x:c>
      <x:c r="I13" s="38" t="str">
        <x:v>なし</x:v>
      </x:c>
      <x:c r="J13" s="38" t="n">
        <x:v>25</x:v>
      </x:c>
      <x:c r="K13" s="38" t="n">
        <x:v>1.38</x:v>
      </x:c>
      <x:c r="L13" s="38"/>
      <x:c r="M13" s="38"/>
      <x:c r="N13" s="38"/>
      <x:c r="O13" s="38" t="n">
        <x:v>16</x:v>
      </x:c>
      <x:c r="P13" s="38" t="n">
        <x:v>0</x:v>
      </x:c>
      <x:c r="Q13" s="38" t="n">
        <x:v>0</x:v>
      </x:c>
      <x:c r="R13" s="38" t="n">
        <x:v>0</x:v>
      </x:c>
      <x:c r="S13" s="38" t="n">
        <x:v>0</x:v>
      </x:c>
      <x:c r="T13" s="38" t="n">
        <x:v>0</x:v>
      </x:c>
      <x:c r="U13" s="38" t="str">
        <x:v>成功</x:v>
      </x:c>
      <x:c r="V13" s="38"/>
      <x:c r="W13" s="38"/>
      <x:c r="X13" s="38"/>
      <x:c r="Y13" s="38"/>
      <x:c r="Z13" s="38" t="str">
        <x:v>AI工程完了・人最終確認待ち。AI事前比較：誤読0件、勝手な確定0件、順序誤り0件、禁止情報0件。難易度8/16点。 積込2地点・荷卸2地点。荷物10枚・8枚を対応する着地へ、時刻・住所・順序を地点別明細に固定して保持。</x:v>
      </x:c>
      <x:c r="AA13" s="38" t="str">
        <x:v>2026/10/08 14:30:11</x:v>
      </x:c>
      <x:c r="AB13" s="38" t="str">
        <x:v>2026/10/08 14:30:11</x:v>
      </x:c>
      <x:c r="AC13" s="38" t="str">
        <x:v>2026/10/08 14:30:47</x:v>
      </x:c>
      <x:c r="AD13" s="38" t="str">
        <x:v>0分36秒</x:v>
      </x:c>
      <x:c r="AE13" s="38" t="str">
        <x:v>2026/10/08 14:31:33</x:v>
      </x:c>
      <x:c r="AF13" s="38" t="str">
        <x:v>2026/10/08 14:31:28</x:v>
      </x:c>
      <x:c r="AG13" s="38" t="str">
        <x:v>2026/10/08 14:31:32</x:v>
      </x:c>
      <x:c r="AH13" s="38" t="str">
        <x:v>0分04秒</x:v>
      </x:c>
      <x:c r="AI13" s="38" t="n">
        <x:v>5</x:v>
      </x:c>
      <x:c r="AJ13" s="38" t="n">
        <x:v>0</x:v>
      </x:c>
      <x:c r="AK13" s="38" t="n">
        <x:v>0</x:v>
      </x:c>
      <x:c r="AL13" s="38" t="str">
        <x:v>反映済</x:v>
      </x:c>
      <x:c r="AM13" s="38" t="str">
        <x:v>固定読込：A16件／B0件／C5件／D0件。配車指示書Excel・PDF生成済。所要時間：1分23秒。AI事前比較では0件。人最終確認待ち。 原本確認メモ：積込2地点・荷卸2地点。荷物10枚・8枚を対応する着地へ、時刻・住所・順序を地点別明細に固定して保持。</x:v>
      </x:c>
      <x:c r="AN13" s="38" t="s">
        <x:v>158</x:v>
      </x:c>
      <x:c r="AO13" s="38" t="s">
        <x:v>159</x:v>
      </x:c>
      <x:c r="AP13" s="38" t="s">
        <x:v>160</x:v>
      </x:c>
      <x:c r="AQ13" s="38" t="s">
        <x:v>161</x:v>
      </x:c>
      <x:c r="AR13" s="38" t="s">
        <x:v>162</x:v>
      </x:c>
      <x:c r="AS13" s="38" t="s">
        <x:v>163</x:v>
      </x:c>
      <x:c r="AT13" s="38" t="s">
        <x:v>164</x:v>
      </x:c>
      <x:c r="AU13" s="38" t="s">
        <x:v>165</x:v>
      </x:c>
      <x:c r="AV13" s="38" t="s">
        <x:v>166</x:v>
      </x:c>
    </x:row>
    <x:row r="14" ht="17.649999618530273" customHeight="1">
      <x:c r="A14" s="38">
        <x:v>8</x:v>
      </x:c>
      <x:c r="B14" s="38" t="str">
        <x:v>2026/10/08</x:v>
      </x:c>
      <x:c r="C14" s="38" t="s">
        <x:v>167</x:v>
      </x:c>
      <x:c r="D14" s="38" t="str">
        <x:v>T06</x:v>
      </x:c>
      <x:c r="E14" s="38" t="str">
        <x:v>印字依頼文書</x:v>
      </x:c>
      <x:c r="F14" s="38" t="str">
        <x:v>埼玉県川越市</x:v>
      </x:c>
      <x:c r="G14" s="38" t="str">
        <x:v>静岡県浜松市中央区</x:v>
      </x:c>
      <x:c r="H14" s="38" t="str">
        <x:v>中</x:v>
      </x:c>
      <x:c r="I14" s="38" t="str">
        <x:v>なし</x:v>
      </x:c>
      <x:c r="J14" s="38" t="n">
        <x:v>16</x:v>
      </x:c>
      <x:c r="K14" s="38" t="n">
        <x:v>0.6</x:v>
      </x:c>
      <x:c r="L14" s="38"/>
      <x:c r="M14" s="38"/>
      <x:c r="N14" s="38"/>
      <x:c r="O14" s="38" t="n">
        <x:v>17</x:v>
      </x:c>
      <x:c r="P14" s="38" t="n">
        <x:v>0</x:v>
      </x:c>
      <x:c r="Q14" s="38" t="n">
        <x:v>0</x:v>
      </x:c>
      <x:c r="R14" s="38" t="n">
        <x:v>0</x:v>
      </x:c>
      <x:c r="S14" s="38" t="n">
        <x:v>0</x:v>
      </x:c>
      <x:c r="T14" s="38" t="n">
        <x:v>0</x:v>
      </x:c>
      <x:c r="U14" s="38" t="str">
        <x:v>成功</x:v>
      </x:c>
      <x:c r="V14" s="38"/>
      <x:c r="W14" s="38"/>
      <x:c r="X14" s="38"/>
      <x:c r="Y14" s="38"/>
      <x:c r="Z14" s="38" t="str">
        <x:v>AI工程完了・人最終確認待ち。AI事前比較：誤読0件、勝手な確定0件、順序誤り0件、禁止情報0件。難易度6/16点。 曖昧表現「午前9時頃」「多少前後可能」「午前中」「午後2時まで」を具体時刻に変換せず保持。荷主物流管理課の緊急連絡先は出力しない。</x:v>
      </x:c>
      <x:c r="AA14" s="38" t="str">
        <x:v>2026/10/08 14:32:03</x:v>
      </x:c>
      <x:c r="AB14" s="38" t="str">
        <x:v>2026/10/08 14:32:03</x:v>
      </x:c>
      <x:c r="AC14" s="38" t="str">
        <x:v>2026/10/08 14:32:26</x:v>
      </x:c>
      <x:c r="AD14" s="38" t="str">
        <x:v>0分23秒</x:v>
      </x:c>
      <x:c r="AE14" s="38" t="str">
        <x:v>2026/10/08 14:32:38</x:v>
      </x:c>
      <x:c r="AF14" s="38" t="str">
        <x:v>2026/10/08 14:32:36</x:v>
      </x:c>
      <x:c r="AG14" s="38" t="str">
        <x:v>2026/10/08 14:32:38</x:v>
      </x:c>
      <x:c r="AH14" s="38" t="str">
        <x:v>0分02秒</x:v>
      </x:c>
      <x:c r="AI14" s="38" t="n">
        <x:v>4</x:v>
      </x:c>
      <x:c r="AJ14" s="38" t="n">
        <x:v>0</x:v>
      </x:c>
      <x:c r="AK14" s="38" t="n">
        <x:v>0</x:v>
      </x:c>
      <x:c r="AL14" s="38" t="str">
        <x:v>反映済</x:v>
      </x:c>
      <x:c r="AM14" s="38" t="str">
        <x:v>固定読込：A17件／B0件／C4件／D0件。配車指示書Excel・PDF生成済。所要時間：0分36秒。AI事前比較では0件。人最終確認待ち。 原本確認メモ：曖昧表現「午前9時頃」「多少前後可能」「午前中」「午後2時まで」を具体時刻に変換せず保持。荷主物流管理課の緊急連絡先は出力しない。</x:v>
      </x:c>
      <x:c r="AN14" s="38" t="s">
        <x:v>168</x:v>
      </x:c>
      <x:c r="AO14" s="38" t="s">
        <x:v>169</x:v>
      </x:c>
      <x:c r="AP14" s="38" t="s">
        <x:v>170</x:v>
      </x:c>
      <x:c r="AQ14" s="38" t="s">
        <x:v>171</x:v>
      </x:c>
      <x:c r="AR14" s="38" t="s">
        <x:v>172</x:v>
      </x:c>
      <x:c r="AS14" s="38" t="s">
        <x:v>118</x:v>
      </x:c>
      <x:c r="AT14" s="38" t="s">
        <x:v>173</x:v>
      </x:c>
      <x:c r="AU14" s="38" t="s">
        <x:v>174</x:v>
      </x:c>
      <x:c r="AV14" s="38" t="s">
        <x:v>175</x:v>
      </x:c>
    </x:row>
    <x:row r="15" ht="17.649999618530273" customHeight="1">
      <x:c r="A15" s="38">
        <x:v>9</x:v>
      </x:c>
      <x:c r="B15" s="38" t="str">
        <x:v>2026/10/08</x:v>
      </x:c>
      <x:c r="C15" s="38" t="s">
        <x:v>176</x:v>
      </x:c>
      <x:c r="D15" s="38" t="str">
        <x:v>T07</x:v>
      </x:c>
      <x:c r="E15" s="38" t="str">
        <x:v>印字帳票＋大量手書き追記</x:v>
      </x:c>
      <x:c r="F15" s="38" t="str">
        <x:v>神奈川県川崎市川崎区</x:v>
      </x:c>
      <x:c r="G15" s="38" t="str">
        <x:v>埼玉県さいたま市大宮区</x:v>
      </x:c>
      <x:c r="H15" s="38" t="str">
        <x:v>高</x:v>
      </x:c>
      <x:c r="I15" s="38" t="str">
        <x:v>なし</x:v>
      </x:c>
      <x:c r="J15" s="38" t="n">
        <x:v>15</x:v>
      </x:c>
      <x:c r="K15" s="38" t="n">
        <x:v>0.86</x:v>
      </x:c>
      <x:c r="L15" s="38"/>
      <x:c r="M15" s="38"/>
      <x:c r="N15" s="38"/>
      <x:c r="O15" s="38" t="n">
        <x:v>18</x:v>
      </x:c>
      <x:c r="P15" s="38" t="n">
        <x:v>0</x:v>
      </x:c>
      <x:c r="Q15" s="38" t="n">
        <x:v>0</x:v>
      </x:c>
      <x:c r="R15" s="38" t="n">
        <x:v>0</x:v>
      </x:c>
      <x:c r="S15" s="38" t="n">
        <x:v>0</x:v>
      </x:c>
      <x:c r="T15" s="38" t="n">
        <x:v>0</x:v>
      </x:c>
      <x:c r="U15" s="38" t="str">
        <x:v>成功</x:v>
      </x:c>
      <x:c r="V15" s="38"/>
      <x:c r="W15" s="38"/>
      <x:c r="X15" s="38"/>
      <x:c r="Y15" s="38"/>
      <x:c r="Z15" s="38" t="str">
        <x:v>AI工程完了・人最終確認待ち。AI事前比較：誤読0件、勝手な確定0件、順序誤り0件、禁止情報0件。難易度11/16点。 複数手書き追記・図示あり。冷凍−18℃以下と選択車種の適合が不明で条件が矛盾。重要注意事項を人確認に戻し、強引に車両を決定しない。</x:v>
      </x:c>
      <x:c r="AA15" s="38" t="str">
        <x:v>2026/10/08 14:32:53</x:v>
      </x:c>
      <x:c r="AB15" s="38" t="str">
        <x:v>2026/10/08 14:32:53</x:v>
      </x:c>
      <x:c r="AC15" s="38" t="str">
        <x:v>2026/10/08 14:33:31</x:v>
      </x:c>
      <x:c r="AD15" s="38" t="str">
        <x:v>0分38秒</x:v>
      </x:c>
      <x:c r="AE15" s="38" t="str">
        <x:v>2026/10/08 14:33:44</x:v>
      </x:c>
      <x:c r="AF15" s="38" t="str">
        <x:v>2026/10/08 14:33:41</x:v>
      </x:c>
      <x:c r="AG15" s="38" t="str">
        <x:v>2026/10/08 14:33:43</x:v>
      </x:c>
      <x:c r="AH15" s="38" t="str">
        <x:v>0分02秒</x:v>
      </x:c>
      <x:c r="AI15" s="38" t="n">
        <x:v>2</x:v>
      </x:c>
      <x:c r="AJ15" s="38" t="n">
        <x:v>1</x:v>
      </x:c>
      <x:c r="AK15" s="38" t="n">
        <x:v>1</x:v>
      </x:c>
      <x:c r="AL15" s="38" t="str">
        <x:v>一部反映</x:v>
      </x:c>
      <x:c r="AM15" s="38" t="str">
        <x:v>固定読込：A18件／B0件／C2件／D1件。配車指示書Excel・PDF生成済。所要時間：0分51秒。AI事前比較では0件。人最終確認待ち。 要確認／矛盾は確定入力せず。 原本確認メモ：複数手書き追記・図示あり。冷凍−18℃以下と選択車種の適合が不明で条件が矛盾。重要注意事項を人確認に戻し、強引に車両を決定しない。</x:v>
      </x:c>
      <x:c r="AN15" s="38" t="s">
        <x:v>141</x:v>
      </x:c>
      <x:c r="AO15" s="38" t="s">
        <x:v>177</x:v>
      </x:c>
      <x:c r="AP15" s="38" t="s">
        <x:v>143</x:v>
      </x:c>
      <x:c r="AQ15" s="38" t="s">
        <x:v>144</x:v>
      </x:c>
      <x:c r="AR15" s="38" t="s">
        <x:v>178</x:v>
      </x:c>
      <x:c r="AS15" s="38" t="s">
        <x:v>118</x:v>
      </x:c>
      <x:c r="AT15" s="38" t="s">
        <x:v>146</x:v>
      </x:c>
      <x:c r="AU15" s="38" t="s">
        <x:v>147</x:v>
      </x:c>
      <x:c r="AV15" s="38" t="s">
        <x:v>179</x:v>
      </x:c>
    </x:row>
    <x:row r="16" ht="17.649999618530273" customHeight="1">
      <x:c r="A16" s="38">
        <x:v>10</x:v>
      </x:c>
      <x:c r="B16" s="38" t="str">
        <x:v>2026/10/08</x:v>
      </x:c>
      <x:c r="C16" s="38" t="s">
        <x:v>180</x:v>
      </x:c>
      <x:c r="D16" s="38" t="str">
        <x:v>T01</x:v>
      </x:c>
      <x:c r="E16" s="38" t="str">
        <x:v>定型印字帳票</x:v>
      </x:c>
      <x:c r="F16" s="38" t="str">
        <x:v>埼玉県深谷市</x:v>
      </x:c>
      <x:c r="G16" s="38" t="str">
        <x:v>宮城県仙台市宮城野区</x:v>
      </x:c>
      <x:c r="H16" s="38" t="str">
        <x:v>低</x:v>
      </x:c>
      <x:c r="I16" s="38" t="str">
        <x:v>なし</x:v>
      </x:c>
      <x:c r="J16" s="38" t="n">
        <x:v>16</x:v>
      </x:c>
      <x:c r="K16" s="38" t="n">
        <x:v>0.59</x:v>
      </x:c>
      <x:c r="L16" s="38"/>
      <x:c r="M16" s="38"/>
      <x:c r="N16" s="38"/>
      <x:c r="O16" s="38" t="n">
        <x:v>20</x:v>
      </x:c>
      <x:c r="P16" s="38" t="n">
        <x:v>0</x:v>
      </x:c>
      <x:c r="Q16" s="38" t="n">
        <x:v>0</x:v>
      </x:c>
      <x:c r="R16" s="38" t="n">
        <x:v>0</x:v>
      </x:c>
      <x:c r="S16" s="38" t="n">
        <x:v>0</x:v>
      </x:c>
      <x:c r="T16" s="38" t="n">
        <x:v>0</x:v>
      </x:c>
      <x:c r="U16" s="38" t="str">
        <x:v>成功</x:v>
      </x:c>
      <x:c r="V16" s="38"/>
      <x:c r="W16" s="38"/>
      <x:c r="X16" s="38"/>
      <x:c r="Y16" s="38"/>
      <x:c r="Z16" s="38" t="str">
        <x:v>AI工程完了・人最終確認待ち。AI事前比較：誤読0件、勝手な確定0件、順序誤り0件、禁止情報0件。難易度4/16点。 荷主運行管理部の担当者・電話・FAXは配車指示書に出力しない。運行希望日と翌日の納品希望日を保持。</x:v>
      </x:c>
      <x:c r="AA16" s="38" t="str">
        <x:v>2026/10/08 14:33:59</x:v>
      </x:c>
      <x:c r="AB16" s="38" t="str">
        <x:v>2026/10/08 14:33:59</x:v>
      </x:c>
      <x:c r="AC16" s="38" t="str">
        <x:v>2026/10/08 14:34:23</x:v>
      </x:c>
      <x:c r="AD16" s="38" t="str">
        <x:v>0分24秒</x:v>
      </x:c>
      <x:c r="AE16" s="38" t="str">
        <x:v>2026/10/08 14:34:34</x:v>
      </x:c>
      <x:c r="AF16" s="38" t="str">
        <x:v>2026/10/08 14:34:31</x:v>
      </x:c>
      <x:c r="AG16" s="38" t="str">
        <x:v>2026/10/08 14:34:33</x:v>
      </x:c>
      <x:c r="AH16" s="38" t="str">
        <x:v>0分02秒</x:v>
      </x:c>
      <x:c r="AI16" s="38" t="n">
        <x:v>1</x:v>
      </x:c>
      <x:c r="AJ16" s="38" t="n">
        <x:v>0</x:v>
      </x:c>
      <x:c r="AK16" s="38" t="n">
        <x:v>0</x:v>
      </x:c>
      <x:c r="AL16" s="38" t="str">
        <x:v>反映済</x:v>
      </x:c>
      <x:c r="AM16" s="38" t="str">
        <x:v>固定読込：A20件／B0件／C1件／D0件。配車指示書Excel・PDF生成済。所要時間：0分36秒。AI事前比較では0件。人最終確認待ち。 原本確認メモ：荷主運行管理部の担当者・電話・FAXは配車指示書に出力しない。運行希望日と翌日の納品希望日を保持。</x:v>
      </x:c>
      <x:c r="AN16" s="38" t="s">
        <x:v>113</x:v>
      </x:c>
      <x:c r="AO16" s="38" t="s">
        <x:v>181</x:v>
      </x:c>
      <x:c r="AP16" s="38" t="s">
        <x:v>115</x:v>
      </x:c>
      <x:c r="AQ16" s="38" t="s">
        <x:v>116</x:v>
      </x:c>
      <x:c r="AR16" s="38" t="s">
        <x:v>182</x:v>
      </x:c>
      <x:c r="AS16" s="38" t="s">
        <x:v>118</x:v>
      </x:c>
      <x:c r="AT16" s="38" t="s">
        <x:v>119</x:v>
      </x:c>
      <x:c r="AU16" s="38" t="s">
        <x:v>120</x:v>
      </x:c>
      <x:c r="AV16" s="38" t="s">
        <x:v>183</x:v>
      </x:c>
    </x:row>
    <x:row r="17" ht="17.649999618530273" customHeight="1">
      <x:c r="A17" s="38">
        <x:v>11</x:v>
      </x:c>
      <x:c r="B17" s="38" t="str">
        <x:v>2026/10/08</x:v>
      </x:c>
      <x:c r="C17" s="38" t="s">
        <x:v>184</x:v>
      </x:c>
      <x:c r="D17" s="38" t="str">
        <x:v>T01</x:v>
      </x:c>
      <x:c r="E17" s="38" t="str">
        <x:v>定型印字帳票</x:v>
      </x:c>
      <x:c r="F17" s="38" t="str">
        <x:v>埼玉県川越市</x:v>
      </x:c>
      <x:c r="G17" s="38" t="str">
        <x:v>広島県東広島市</x:v>
      </x:c>
      <x:c r="H17" s="38" t="str">
        <x:v>低</x:v>
      </x:c>
      <x:c r="I17" s="38" t="str">
        <x:v>なし</x:v>
      </x:c>
      <x:c r="J17" s="38" t="n">
        <x:v>16</x:v>
      </x:c>
      <x:c r="K17" s="38" t="n">
        <x:v>13.45</x:v>
      </x:c>
      <x:c r="L17" s="38"/>
      <x:c r="M17" s="38"/>
      <x:c r="N17" s="38"/>
      <x:c r="O17" s="38" t="n">
        <x:v>20</x:v>
      </x:c>
      <x:c r="P17" s="38" t="n">
        <x:v>0</x:v>
      </x:c>
      <x:c r="Q17" s="38" t="n">
        <x:v>0</x:v>
      </x:c>
      <x:c r="R17" s="38" t="n">
        <x:v>0</x:v>
      </x:c>
      <x:c r="S17" s="38" t="n">
        <x:v>0</x:v>
      </x:c>
      <x:c r="T17" s="38" t="n">
        <x:v>0</x:v>
      </x:c>
      <x:c r="U17" s="38" t="str">
        <x:v>成功</x:v>
      </x:c>
      <x:c r="V17" s="38"/>
      <x:c r="W17" s="38"/>
      <x:c r="X17" s="38"/>
      <x:c r="Y17" s="38"/>
      <x:c r="Z17" s="38" t="str">
        <x:v>AI工程完了・人最終確認待ち。AI事前比較：誤読0件、勝手な確定0件、順序評価は原本条件に準拠、禁止情報0件。難易度4/16点。</x:v>
      </x:c>
      <x:c r="AA17" s="38" t="str">
        <x:v>2026/10/08 14:49:07</x:v>
      </x:c>
      <x:c r="AB17" s="38" t="str">
        <x:v>2026/10/08 14:49:07</x:v>
      </x:c>
      <x:c r="AC17" s="38" t="str">
        <x:v>2026/10/08 14:49:41</x:v>
      </x:c>
      <x:c r="AD17" s="38" t="str">
        <x:v>0分34秒</x:v>
      </x:c>
      <x:c r="AE17" s="38" t="str">
        <x:v>2026/10/08 15:02:33</x:v>
      </x:c>
      <x:c r="AF17" s="38" t="str">
        <x:v>2026/10/08 14:49:53</x:v>
      </x:c>
      <x:c r="AG17" s="38" t="str">
        <x:v>2026/10/08 15:02:32</x:v>
      </x:c>
      <x:c r="AH17" s="38" t="str">
        <x:v>12分39秒</x:v>
      </x:c>
      <x:c r="AI17" s="38" t="n">
        <x:v>1</x:v>
      </x:c>
      <x:c r="AJ17" s="38" t="n">
        <x:v>0</x:v>
      </x:c>
      <x:c r="AK17" s="38" t="n">
        <x:v>0</x:v>
      </x:c>
      <x:c r="AL17" s="38" t="str">
        <x:v>反映済</x:v>
      </x:c>
      <x:c r="AM17" s="38" t="str">
        <x:v>固定読込：A20件／B0件／C1件／D0件。配車指示書Excel・PDF生成済。所要時間：13分27秒。AI事前比較では0件。人最終確認待ち。</x:v>
      </x:c>
      <x:c r="AN17" s="38" t="s">
        <x:v>113</x:v>
      </x:c>
      <x:c r="AO17" s="38" t="s">
        <x:v>150</x:v>
      </x:c>
      <x:c r="AP17" s="38" t="s">
        <x:v>115</x:v>
      </x:c>
      <x:c r="AQ17" s="38" t="s">
        <x:v>116</x:v>
      </x:c>
      <x:c r="AR17" s="38" t="s">
        <x:v>185</x:v>
      </x:c>
      <x:c r="AS17" s="38" t="s">
        <x:v>118</x:v>
      </x:c>
      <x:c r="AT17" s="38" t="s">
        <x:v>119</x:v>
      </x:c>
      <x:c r="AU17" s="38" t="s">
        <x:v>120</x:v>
      </x:c>
      <x:c r="AV17" s="38" t="s">
        <x:v>186</x:v>
      </x:c>
    </x:row>
    <x:row r="18" ht="17.649999618530273" customHeight="1">
      <x:c r="A18" s="38">
        <x:v>12</x:v>
      </x:c>
      <x:c r="B18" s="38" t="str">
        <x:v>2026/10/08</x:v>
      </x:c>
      <x:c r="C18" s="38" t="s">
        <x:v>187</x:v>
      </x:c>
      <x:c r="D18" s="38" t="str">
        <x:v>T02</x:v>
      </x:c>
      <x:c r="E18" s="38" t="str">
        <x:v>劣化FAX</x:v>
      </x:c>
      <x:c r="F18" s="38" t="str">
        <x:v>愛知県小牧市</x:v>
      </x:c>
      <x:c r="G18" s="38" t="str">
        <x:v>岐阜県羽島郡笠松町</x:v>
      </x:c>
      <x:c r="H18" s="38" t="str">
        <x:v>中</x:v>
      </x:c>
      <x:c r="I18" s="38" t="str">
        <x:v>なし</x:v>
      </x:c>
      <x:c r="J18" s="38" t="n">
        <x:v>12</x:v>
      </x:c>
      <x:c r="K18" s="38" t="n">
        <x:v>12.47</x:v>
      </x:c>
      <x:c r="L18" s="38"/>
      <x:c r="M18" s="38"/>
      <x:c r="N18" s="38"/>
      <x:c r="O18" s="38" t="n">
        <x:v>14</x:v>
      </x:c>
      <x:c r="P18" s="38" t="n">
        <x:v>6</x:v>
      </x:c>
      <x:c r="Q18" s="38" t="n">
        <x:v>0</x:v>
      </x:c>
      <x:c r="R18" s="38" t="n">
        <x:v>0</x:v>
      </x:c>
      <x:c r="S18" s="38" t="n">
        <x:v>0</x:v>
      </x:c>
      <x:c r="T18" s="38" t="n">
        <x:v>0</x:v>
      </x:c>
      <x:c r="U18" s="38" t="str">
        <x:v>成功</x:v>
      </x:c>
      <x:c r="V18" s="38"/>
      <x:c r="W18" s="38"/>
      <x:c r="X18" s="38"/>
      <x:c r="Y18" s="38"/>
      <x:c r="Z18" s="38" t="str">
        <x:v>AI工程完了・人最終確認待ち。AI事前比較：誤読0件、勝手な確定0件、順序評価は原本条件に準拠、禁止情報0件。難易度6/16点。</x:v>
      </x:c>
      <x:c r="AA18" s="38" t="str">
        <x:v>2026/10/08 14:50:15</x:v>
      </x:c>
      <x:c r="AB18" s="38" t="str">
        <x:v>2026/10/08 14:50:15</x:v>
      </x:c>
      <x:c r="AC18" s="38" t="str">
        <x:v>2026/10/08 14:51:32</x:v>
      </x:c>
      <x:c r="AD18" s="38" t="str">
        <x:v>1分17秒</x:v>
      </x:c>
      <x:c r="AE18" s="38" t="str">
        <x:v>2026/10/08 15:02:43</x:v>
      </x:c>
      <x:c r="AF18" s="38" t="str">
        <x:v>2026/10/08 14:51:35</x:v>
      </x:c>
      <x:c r="AG18" s="38" t="str">
        <x:v>2026/10/08 15:02:42</x:v>
      </x:c>
      <x:c r="AH18" s="38" t="str">
        <x:v>11分07秒</x:v>
      </x:c>
      <x:c r="AI18" s="38" t="n">
        <x:v>1</x:v>
      </x:c>
      <x:c r="AJ18" s="38" t="n">
        <x:v>0</x:v>
      </x:c>
      <x:c r="AK18" s="38" t="n">
        <x:v>6</x:v>
      </x:c>
      <x:c r="AL18" s="38" t="str">
        <x:v>一部反映</x:v>
      </x:c>
      <x:c r="AM18" s="38" t="str">
        <x:v>固定読込：A14件／B6件／C1件／D0件。配車指示書Excel・PDF生成済。所要時間：12分28秒。AI事前比較では0件。人最終確認待ち。 要確認／矛盾は確定入力せず。</x:v>
      </x:c>
      <x:c r="AN18" s="38" t="s">
        <x:v>123</x:v>
      </x:c>
      <x:c r="AO18" s="38" t="s">
        <x:v>124</x:v>
      </x:c>
      <x:c r="AP18" s="38" t="s">
        <x:v>125</x:v>
      </x:c>
      <x:c r="AQ18" s="38" t="s">
        <x:v>126</x:v>
      </x:c>
      <x:c r="AR18" s="38" t="s">
        <x:v>188</x:v>
      </x:c>
      <x:c r="AS18" s="38" t="s">
        <x:v>118</x:v>
      </x:c>
      <x:c r="AT18" s="38" t="s">
        <x:v>128</x:v>
      </x:c>
      <x:c r="AU18" s="38" t="s">
        <x:v>129</x:v>
      </x:c>
      <x:c r="AV18" s="38" t="s">
        <x:v>189</x:v>
      </x:c>
    </x:row>
    <x:row r="19" ht="17.649999618530273" customHeight="1">
      <x:c r="A19" s="38">
        <x:v>13</x:v>
      </x:c>
      <x:c r="B19" s="38" t="str">
        <x:v>2026/10/08</x:v>
      </x:c>
      <x:c r="C19" s="38" t="s">
        <x:v>190</x:v>
      </x:c>
      <x:c r="D19" s="38" t="str">
        <x:v>T09</x:v>
      </x:c>
      <x:c r="E19" s="38" t="str">
        <x:v>全手書きメモ（金額記載あり）</x:v>
      </x:c>
      <x:c r="F19" s="38" t="str">
        <x:v>埼玉県川越市</x:v>
      </x:c>
      <x:c r="G19" s="38" t="str">
        <x:v>大阪府東大阪市</x:v>
      </x:c>
      <x:c r="H19" s="38" t="str">
        <x:v>中</x:v>
      </x:c>
      <x:c r="I19" s="38" t="str">
        <x:v>なし</x:v>
      </x:c>
      <x:c r="J19" s="38" t="n">
        <x:v>14</x:v>
      </x:c>
      <x:c r="K19" s="38" t="n">
        <x:v>10.94</x:v>
      </x:c>
      <x:c r="L19" s="38"/>
      <x:c r="M19" s="38"/>
      <x:c r="N19" s="38"/>
      <x:c r="O19" s="38" t="n">
        <x:v>17</x:v>
      </x:c>
      <x:c r="P19" s="38" t="n">
        <x:v>0</x:v>
      </x:c>
      <x:c r="Q19" s="38" t="n">
        <x:v>0</x:v>
      </x:c>
      <x:c r="R19" s="38" t="n">
        <x:v>0</x:v>
      </x:c>
      <x:c r="S19" s="38" t="n">
        <x:v>0</x:v>
      </x:c>
      <x:c r="T19" s="38" t="n">
        <x:v>0</x:v>
      </x:c>
      <x:c r="U19" s="38" t="str">
        <x:v>成功</x:v>
      </x:c>
      <x:c r="V19" s="38"/>
      <x:c r="W19" s="38"/>
      <x:c r="X19" s="38"/>
      <x:c r="Y19" s="38"/>
      <x:c r="Z19" s="38" t="str">
        <x:v>AI工程完了・人最終確認待ち。AI事前比較：誤読0件、勝手な確定0件、順序評価は原本条件に準拠、禁止情報0件。難易度9/16点。</x:v>
      </x:c>
      <x:c r="AA19" s="38" t="str">
        <x:v>2026/10/08 14:51:56</x:v>
      </x:c>
      <x:c r="AB19" s="38" t="str">
        <x:v>2026/10/08 14:51:56</x:v>
      </x:c>
      <x:c r="AC19" s="38" t="str">
        <x:v>2026/10/08 14:52:23</x:v>
      </x:c>
      <x:c r="AD19" s="38" t="str">
        <x:v>0分27秒</x:v>
      </x:c>
      <x:c r="AE19" s="38" t="str">
        <x:v>2026/10/08 15:02:52</x:v>
      </x:c>
      <x:c r="AF19" s="38" t="str">
        <x:v>2026/10/08 14:52:26</x:v>
      </x:c>
      <x:c r="AG19" s="38" t="str">
        <x:v>2026/10/08 15:02:51</x:v>
      </x:c>
      <x:c r="AH19" s="38" t="str">
        <x:v>10分25秒</x:v>
      </x:c>
      <x:c r="AI19" s="38" t="n">
        <x:v>4</x:v>
      </x:c>
      <x:c r="AJ19" s="38" t="n">
        <x:v>0</x:v>
      </x:c>
      <x:c r="AK19" s="38" t="n">
        <x:v>0</x:v>
      </x:c>
      <x:c r="AL19" s="38" t="str">
        <x:v>反映済</x:v>
      </x:c>
      <x:c r="AM19" s="38" t="str">
        <x:v>固定読込：A17件／B0件／C4件／D0件。配車指示書Excel・PDF生成済。所要時間：10分56秒。AI事前比較では0件。人最終確認待ち。</x:v>
      </x:c>
      <x:c r="AN19" s="38" t="s">
        <x:v>191</x:v>
      </x:c>
      <x:c r="AO19" s="38" t="s">
        <x:v>133</x:v>
      </x:c>
      <x:c r="AP19" s="38" t="s">
        <x:v>192</x:v>
      </x:c>
      <x:c r="AQ19" s="38" t="s">
        <x:v>193</x:v>
      </x:c>
      <x:c r="AR19" s="38" t="s">
        <x:v>194</x:v>
      </x:c>
      <x:c r="AS19" s="38" t="s">
        <x:v>195</x:v>
      </x:c>
      <x:c r="AT19" s="38" t="s">
        <x:v>196</x:v>
      </x:c>
      <x:c r="AU19" s="38" t="s">
        <x:v>197</x:v>
      </x:c>
      <x:c r="AV19" s="38" t="s">
        <x:v>198</x:v>
      </x:c>
    </x:row>
    <x:row r="20" ht="17.649999618530273" customHeight="1">
      <x:c r="A20" s="38">
        <x:v>14</x:v>
      </x:c>
      <x:c r="B20" s="38" t="str">
        <x:v>2026/10/08</x:v>
      </x:c>
      <x:c r="C20" s="38" t="s">
        <x:v>199</x:v>
      </x:c>
      <x:c r="D20" s="38" t="str">
        <x:v>T04</x:v>
      </x:c>
      <x:c r="E20" s="38" t="str">
        <x:v>メール印刷＋手書き追記</x:v>
      </x:c>
      <x:c r="F20" s="38" t="str">
        <x:v>神奈川県厚木市</x:v>
      </x:c>
      <x:c r="G20" s="38" t="str">
        <x:v>宮城県仙台市青葉区</x:v>
      </x:c>
      <x:c r="H20" s="38" t="str">
        <x:v>低</x:v>
      </x:c>
      <x:c r="I20" s="38" t="str">
        <x:v>なし</x:v>
      </x:c>
      <x:c r="J20" s="38" t="n">
        <x:v>16</x:v>
      </x:c>
      <x:c r="K20" s="38" t="n">
        <x:v>11.09</x:v>
      </x:c>
      <x:c r="L20" s="38"/>
      <x:c r="M20" s="38"/>
      <x:c r="N20" s="38"/>
      <x:c r="O20" s="38" t="n">
        <x:v>18</x:v>
      </x:c>
      <x:c r="P20" s="38" t="n">
        <x:v>0</x:v>
      </x:c>
      <x:c r="Q20" s="38" t="n">
        <x:v>0</x:v>
      </x:c>
      <x:c r="R20" s="38" t="n">
        <x:v>0</x:v>
      </x:c>
      <x:c r="S20" s="38" t="n">
        <x:v>0</x:v>
      </x:c>
      <x:c r="T20" s="38" t="n">
        <x:v>0</x:v>
      </x:c>
      <x:c r="U20" s="38" t="str">
        <x:v>成功</x:v>
      </x:c>
      <x:c r="V20" s="38"/>
      <x:c r="W20" s="38"/>
      <x:c r="X20" s="38"/>
      <x:c r="Y20" s="38"/>
      <x:c r="Z20" s="38" t="str">
        <x:v>AI工程完了・人最終確認待ち。AI事前比較：誤読0件、勝手な確定0件、順序評価は原本条件に準拠、禁止情報0件。難易度5/16点。</x:v>
      </x:c>
      <x:c r="AA20" s="38" t="str">
        <x:v>2026/10/08 14:52:42</x:v>
      </x:c>
      <x:c r="AB20" s="38" t="str">
        <x:v>2026/10/08 14:52:42</x:v>
      </x:c>
      <x:c r="AC20" s="38" t="str">
        <x:v>2026/10/08 14:53:06</x:v>
      </x:c>
      <x:c r="AD20" s="38" t="str">
        <x:v>0分24秒</x:v>
      </x:c>
      <x:c r="AE20" s="38" t="str">
        <x:v>2026/10/08 15:03:47</x:v>
      </x:c>
      <x:c r="AF20" s="38" t="str">
        <x:v>2026/10/08 14:53:09</x:v>
      </x:c>
      <x:c r="AG20" s="38" t="str">
        <x:v>2026/10/08 15:03:46</x:v>
      </x:c>
      <x:c r="AH20" s="38" t="str">
        <x:v>10分37秒</x:v>
      </x:c>
      <x:c r="AI20" s="38" t="n">
        <x:v>3</x:v>
      </x:c>
      <x:c r="AJ20" s="38" t="n">
        <x:v>0</x:v>
      </x:c>
      <x:c r="AK20" s="38" t="n">
        <x:v>0</x:v>
      </x:c>
      <x:c r="AL20" s="38" t="str">
        <x:v>反映済</x:v>
      </x:c>
      <x:c r="AM20" s="38" t="str">
        <x:v>固定読込：A18件／B0件／C3件／D0件。配車指示書Excel・PDF生成済。所要時間：11分06秒。AI事前比較では0件。人最終確認待ち。</x:v>
      </x:c>
      <x:c r="AN20" s="38" t="s">
        <x:v>200</x:v>
      </x:c>
      <x:c r="AO20" s="38" t="s">
        <x:v>142</x:v>
      </x:c>
      <x:c r="AP20" s="38" t="s">
        <x:v>201</x:v>
      </x:c>
      <x:c r="AQ20" s="38" t="s">
        <x:v>202</x:v>
      </x:c>
      <x:c r="AR20" s="38" t="s">
        <x:v>203</x:v>
      </x:c>
      <x:c r="AS20" s="38" t="s">
        <x:v>118</x:v>
      </x:c>
      <x:c r="AT20" s="38" t="s">
        <x:v>204</x:v>
      </x:c>
      <x:c r="AU20" s="38" t="s">
        <x:v>205</x:v>
      </x:c>
      <x:c r="AV20" s="38" t="s">
        <x:v>206</x:v>
      </x:c>
    </x:row>
    <x:row r="21" ht="17.649999618530273" customHeight="1">
      <x:c r="A21" s="38">
        <x:v>15</x:v>
      </x:c>
      <x:c r="B21" s="38" t="str">
        <x:v>2026/10/08</x:v>
      </x:c>
      <x:c r="C21" s="38" t="s">
        <x:v>207</x:v>
      </x:c>
      <x:c r="D21" s="38" t="str">
        <x:v>T05</x:v>
      </x:c>
      <x:c r="E21" s="38" t="str">
        <x:v>複数地点ルート表（印字）</x:v>
      </x:c>
      <x:c r="F21" s="38" t="str">
        <x:v>神奈川県厚木市ほか</x:v>
      </x:c>
      <x:c r="G21" s="38" t="str">
        <x:v>千葉県千葉市美浜区ほか</x:v>
      </x:c>
      <x:c r="H21" s="38" t="str">
        <x:v>中</x:v>
      </x:c>
      <x:c r="I21" s="38" t="str">
        <x:v>なし</x:v>
      </x:c>
      <x:c r="J21" s="38" t="n">
        <x:v>88</x:v>
      </x:c>
      <x:c r="K21" s="38" t="n">
        <x:v>10.91</x:v>
      </x:c>
      <x:c r="L21" s="38"/>
      <x:c r="M21" s="38"/>
      <x:c r="N21" s="38"/>
      <x:c r="O21" s="38" t="n">
        <x:v>16</x:v>
      </x:c>
      <x:c r="P21" s="38" t="n">
        <x:v>0</x:v>
      </x:c>
      <x:c r="Q21" s="38" t="n">
        <x:v>0</x:v>
      </x:c>
      <x:c r="R21" s="38" t="n">
        <x:v>0</x:v>
      </x:c>
      <x:c r="S21" s="38" t="n">
        <x:v>0</x:v>
      </x:c>
      <x:c r="T21" s="38" t="n">
        <x:v>0</x:v>
      </x:c>
      <x:c r="U21" s="38" t="str">
        <x:v>成功</x:v>
      </x:c>
      <x:c r="V21" s="38"/>
      <x:c r="W21" s="38"/>
      <x:c r="X21" s="38"/>
      <x:c r="Y21" s="38"/>
      <x:c r="Z21" s="38" t="str">
        <x:v>AI工程完了・人最終確認待ち。AI事前比較：誤読0件、勝手な確定0件、順序評価は原本条件に準拠、禁止情報0件。難易度9/16点。</x:v>
      </x:c>
      <x:c r="AA21" s="38" t="str">
        <x:v>2026/10/08 14:53:27</x:v>
      </x:c>
      <x:c r="AB21" s="38" t="str">
        <x:v>2026/10/08 14:53:27</x:v>
      </x:c>
      <x:c r="AC21" s="38" t="str">
        <x:v>2026/10/08 14:55:03</x:v>
      </x:c>
      <x:c r="AD21" s="38" t="str">
        <x:v>1分36秒</x:v>
      </x:c>
      <x:c r="AE21" s="38" t="str">
        <x:v>2026/10/08 15:04:21</x:v>
      </x:c>
      <x:c r="AF21" s="38" t="str">
        <x:v>2026/10/08 14:55:06</x:v>
      </x:c>
      <x:c r="AG21" s="38" t="str">
        <x:v>2026/10/08 15:04:20</x:v>
      </x:c>
      <x:c r="AH21" s="38" t="str">
        <x:v>9分14秒</x:v>
      </x:c>
      <x:c r="AI21" s="38" t="n">
        <x:v>5</x:v>
      </x:c>
      <x:c r="AJ21" s="38" t="n">
        <x:v>0</x:v>
      </x:c>
      <x:c r="AK21" s="38" t="n">
        <x:v>0</x:v>
      </x:c>
      <x:c r="AL21" s="38" t="str">
        <x:v>反映済</x:v>
      </x:c>
      <x:c r="AM21" s="38" t="str">
        <x:v>固定読込：A16件／B0件／C5件／D0件。配車指示書Excel・PDF生成済。所要時間：10分55秒。AI事前比較では0件。人最終確認待ち。</x:v>
      </x:c>
      <x:c r="AN21" s="38" t="s">
        <x:v>158</x:v>
      </x:c>
      <x:c r="AO21" s="38" t="s">
        <x:v>208</x:v>
      </x:c>
      <x:c r="AP21" s="38" t="s">
        <x:v>160</x:v>
      </x:c>
      <x:c r="AQ21" s="38" t="s">
        <x:v>161</x:v>
      </x:c>
      <x:c r="AR21" s="38" t="s">
        <x:v>209</x:v>
      </x:c>
      <x:c r="AS21" s="38" t="s">
        <x:v>163</x:v>
      </x:c>
      <x:c r="AT21" s="38" t="s">
        <x:v>164</x:v>
      </x:c>
      <x:c r="AU21" s="38" t="s">
        <x:v>165</x:v>
      </x:c>
      <x:c r="AV21" s="38" t="s">
        <x:v>210</x:v>
      </x:c>
    </x:row>
    <x:row r="22" ht="17.649999618530273" customHeight="1">
      <x:c r="A22" s="38">
        <x:v>16</x:v>
      </x:c>
      <x:c r="B22" s="38" t="str">
        <x:v>2026/10/08</x:v>
      </x:c>
      <x:c r="C22" s="38" t="s">
        <x:v>211</x:v>
      </x:c>
      <x:c r="D22" s="38" t="str">
        <x:v>T04</x:v>
      </x:c>
      <x:c r="E22" s="38" t="str">
        <x:v>印字依頼文書（文章形式）</x:v>
      </x:c>
      <x:c r="F22" s="38" t="str">
        <x:v>愛知県小牧市</x:v>
      </x:c>
      <x:c r="G22" s="38" t="str">
        <x:v>富山県富山市</x:v>
      </x:c>
      <x:c r="H22" s="38" t="str">
        <x:v>低</x:v>
      </x:c>
      <x:c r="I22" s="38" t="str">
        <x:v>なし</x:v>
      </x:c>
      <x:c r="J22" s="38" t="n">
        <x:v>14</x:v>
      </x:c>
      <x:c r="K22" s="38" t="n">
        <x:v>8.99</x:v>
      </x:c>
      <x:c r="L22" s="38"/>
      <x:c r="M22" s="38"/>
      <x:c r="N22" s="38"/>
      <x:c r="O22" s="38" t="n">
        <x:v>18</x:v>
      </x:c>
      <x:c r="P22" s="38" t="n">
        <x:v>0</x:v>
      </x:c>
      <x:c r="Q22" s="38" t="n">
        <x:v>0</x:v>
      </x:c>
      <x:c r="R22" s="38" t="n">
        <x:v>0</x:v>
      </x:c>
      <x:c r="S22" s="38" t="n">
        <x:v>0</x:v>
      </x:c>
      <x:c r="T22" s="38" t="n">
        <x:v>0</x:v>
      </x:c>
      <x:c r="U22" s="38" t="str">
        <x:v>成功</x:v>
      </x:c>
      <x:c r="V22" s="38"/>
      <x:c r="W22" s="38"/>
      <x:c r="X22" s="38"/>
      <x:c r="Y22" s="38"/>
      <x:c r="Z22" s="38" t="str">
        <x:v>AI工程完了・人最終確認待ち。AI事前比較：誤読0件、勝手な確定0件、順序評価は原本条件に準拠、禁止情報0件。難易度4/16点。</x:v>
      </x:c>
      <x:c r="AA22" s="38" t="str">
        <x:v>2026/10/08 14:55:31</x:v>
      </x:c>
      <x:c r="AB22" s="38" t="str">
        <x:v>2026/10/08 14:55:31</x:v>
      </x:c>
      <x:c r="AC22" s="38" t="str">
        <x:v>2026/10/08 14:55:55</x:v>
      </x:c>
      <x:c r="AD22" s="38" t="str">
        <x:v>0分24秒</x:v>
      </x:c>
      <x:c r="AE22" s="38" t="str">
        <x:v>2026/10/08 15:04:30</x:v>
      </x:c>
      <x:c r="AF22" s="38" t="str">
        <x:v>2026/10/08 14:55:58</x:v>
      </x:c>
      <x:c r="AG22" s="38" t="str">
        <x:v>2026/10/08 15:04:29</x:v>
      </x:c>
      <x:c r="AH22" s="38" t="str">
        <x:v>8分31秒</x:v>
      </x:c>
      <x:c r="AI22" s="38" t="n">
        <x:v>3</x:v>
      </x:c>
      <x:c r="AJ22" s="38" t="n">
        <x:v>0</x:v>
      </x:c>
      <x:c r="AK22" s="38" t="n">
        <x:v>0</x:v>
      </x:c>
      <x:c r="AL22" s="38" t="str">
        <x:v>反映済</x:v>
      </x:c>
      <x:c r="AM22" s="38" t="str">
        <x:v>固定読込：A18件／B0件／C3件／D0件。配車指示書Excel・PDF生成済。所要時間：8分59秒。AI事前比較では0件。人最終確認待ち。</x:v>
      </x:c>
      <x:c r="AN22" s="38" t="s">
        <x:v>200</x:v>
      </x:c>
      <x:c r="AO22" s="38" t="s">
        <x:v>212</x:v>
      </x:c>
      <x:c r="AP22" s="38" t="s">
        <x:v>201</x:v>
      </x:c>
      <x:c r="AQ22" s="38" t="s">
        <x:v>202</x:v>
      </x:c>
      <x:c r="AR22" s="38" t="s">
        <x:v>213</x:v>
      </x:c>
      <x:c r="AS22" s="38" t="s">
        <x:v>118</x:v>
      </x:c>
      <x:c r="AT22" s="38" t="s">
        <x:v>204</x:v>
      </x:c>
      <x:c r="AU22" s="38" t="s">
        <x:v>205</x:v>
      </x:c>
      <x:c r="AV22" s="38" t="s">
        <x:v>214</x:v>
      </x:c>
    </x:row>
    <x:row r="23" ht="17.649999618530273" customHeight="1">
      <x:c r="A23" s="38">
        <x:v>17</x:v>
      </x:c>
      <x:c r="B23" s="38" t="str">
        <x:v>2026/10/08</x:v>
      </x:c>
      <x:c r="C23" s="38" t="s">
        <x:v>215</x:v>
      </x:c>
      <x:c r="D23" s="38" t="str">
        <x:v>T07</x:v>
      </x:c>
      <x:c r="E23" s="38" t="str">
        <x:v>劣化FAX＋赤字訂正</x:v>
      </x:c>
      <x:c r="F23" s="38" t="str">
        <x:v>千葉県市原市</x:v>
      </x:c>
      <x:c r="G23" s="38" t="str">
        <x:v>大阪府茨木市</x:v>
      </x:c>
      <x:c r="H23" s="38" t="str">
        <x:v>中</x:v>
      </x:c>
      <x:c r="I23" s="38" t="str">
        <x:v>なし</x:v>
      </x:c>
      <x:c r="J23" s="38" t="n">
        <x:v>16</x:v>
      </x:c>
      <x:c r="K23" s="38" t="n">
        <x:v>8.37</x:v>
      </x:c>
      <x:c r="L23" s="38"/>
      <x:c r="M23" s="38"/>
      <x:c r="N23" s="38"/>
      <x:c r="O23" s="38" t="n">
        <x:v>19</x:v>
      </x:c>
      <x:c r="P23" s="38" t="n">
        <x:v>0</x:v>
      </x:c>
      <x:c r="Q23" s="38" t="n">
        <x:v>0</x:v>
      </x:c>
      <x:c r="R23" s="38" t="n">
        <x:v>0</x:v>
      </x:c>
      <x:c r="S23" s="38" t="n">
        <x:v>0</x:v>
      </x:c>
      <x:c r="T23" s="38" t="n">
        <x:v>0</x:v>
      </x:c>
      <x:c r="U23" s="38" t="str">
        <x:v>成功</x:v>
      </x:c>
      <x:c r="V23" s="38"/>
      <x:c r="W23" s="38"/>
      <x:c r="X23" s="38"/>
      <x:c r="Y23" s="38"/>
      <x:c r="Z23" s="38" t="str">
        <x:v>AI工程完了・人最終確認待ち。AI事前比較：誤読0件、勝手な確定0件、順序評価は原本条件に準拠、禁止情報0件。難易度9/16点。</x:v>
      </x:c>
      <x:c r="AA23" s="38" t="str">
        <x:v>2026/10/08 14:56:17</x:v>
      </x:c>
      <x:c r="AB23" s="38" t="str">
        <x:v>2026/10/08 14:56:17</x:v>
      </x:c>
      <x:c r="AC23" s="38" t="str">
        <x:v>2026/10/08 14:56:51</x:v>
      </x:c>
      <x:c r="AD23" s="38" t="str">
        <x:v>0分34秒</x:v>
      </x:c>
      <x:c r="AE23" s="38" t="str">
        <x:v>2026/10/08 15:04:39</x:v>
      </x:c>
      <x:c r="AF23" s="38" t="str">
        <x:v>2026/10/08 14:56:54</x:v>
      </x:c>
      <x:c r="AG23" s="38" t="str">
        <x:v>2026/10/08 15:04:38</x:v>
      </x:c>
      <x:c r="AH23" s="38" t="str">
        <x:v>7分44秒</x:v>
      </x:c>
      <x:c r="AI23" s="38" t="n">
        <x:v>2</x:v>
      </x:c>
      <x:c r="AJ23" s="38" t="n">
        <x:v>0</x:v>
      </x:c>
      <x:c r="AK23" s="38" t="n">
        <x:v>0</x:v>
      </x:c>
      <x:c r="AL23" s="38" t="str">
        <x:v>反映済</x:v>
      </x:c>
      <x:c r="AM23" s="38" t="str">
        <x:v>固定読込：A19件／B0件／C2件／D0件。配車指示書Excel・PDF生成済。所要時間：8分22秒。AI事前比較では0件。人最終確認待ち。</x:v>
      </x:c>
      <x:c r="AN23" s="38" t="s">
        <x:v>141</x:v>
      </x:c>
      <x:c r="AO23" s="38" t="s">
        <x:v>124</x:v>
      </x:c>
      <x:c r="AP23" s="38" t="s">
        <x:v>143</x:v>
      </x:c>
      <x:c r="AQ23" s="38" t="s">
        <x:v>144</x:v>
      </x:c>
      <x:c r="AR23" s="38" t="s">
        <x:v>216</x:v>
      </x:c>
      <x:c r="AS23" s="38" t="s">
        <x:v>118</x:v>
      </x:c>
      <x:c r="AT23" s="38" t="s">
        <x:v>146</x:v>
      </x:c>
      <x:c r="AU23" s="38" t="s">
        <x:v>147</x:v>
      </x:c>
      <x:c r="AV23" s="38" t="s">
        <x:v>217</x:v>
      </x:c>
    </x:row>
    <x:row r="24" ht="17.649999618530273" customHeight="1">
      <x:c r="A24" s="38">
        <x:v>18</x:v>
      </x:c>
      <x:c r="B24" s="38" t="str">
        <x:v>2026/10/08</x:v>
      </x:c>
      <x:c r="C24" s="38" t="s">
        <x:v>218</x:v>
      </x:c>
      <x:c r="D24" s="38" t="str">
        <x:v>T07</x:v>
      </x:c>
      <x:c r="E24" s="38" t="str">
        <x:v>定型帳票＋多地点＋手書き訂正</x:v>
      </x:c>
      <x:c r="F24" s="38" t="str">
        <x:v>埼玉県川口市・東京都江東区</x:v>
      </x:c>
      <x:c r="G24" s="38" t="str">
        <x:v>神奈川県横浜市都筑区</x:v>
      </x:c>
      <x:c r="H24" s="38" t="str">
        <x:v>高</x:v>
      </x:c>
      <x:c r="I24" s="38" t="str">
        <x:v>なし</x:v>
      </x:c>
      <x:c r="J24" s="38" t="n">
        <x:v>21</x:v>
      </x:c>
      <x:c r="K24" s="38" t="n">
        <x:v>7.76</x:v>
      </x:c>
      <x:c r="L24" s="38"/>
      <x:c r="M24" s="38"/>
      <x:c r="N24" s="38"/>
      <x:c r="O24" s="38" t="n">
        <x:v>17</x:v>
      </x:c>
      <x:c r="P24" s="38" t="n">
        <x:v>1</x:v>
      </x:c>
      <x:c r="Q24" s="38" t="n">
        <x:v>0</x:v>
      </x:c>
      <x:c r="R24" s="38" t="n">
        <x:v>0</x:v>
      </x:c>
      <x:c r="S24" s="38" t="str">
        <x:v>要確認</x:v>
      </x:c>
      <x:c r="T24" s="38" t="n">
        <x:v>0</x:v>
      </x:c>
      <x:c r="U24" s="38" t="str">
        <x:v>成功</x:v>
      </x:c>
      <x:c r="V24" s="38"/>
      <x:c r="W24" s="38"/>
      <x:c r="X24" s="38"/>
      <x:c r="Y24" s="38"/>
      <x:c r="Z24" s="38" t="str">
        <x:v>AI工程完了・人最終確認待ち。AI事前比較：誤読0件、勝手な確定0件、順序評価は原本条件に準拠、禁止情報0件。難易度13/16点。</x:v>
      </x:c>
      <x:c r="AA24" s="38" t="str">
        <x:v>2026/10/08 14:57:20</x:v>
      </x:c>
      <x:c r="AB24" s="38" t="str">
        <x:v>2026/10/08 14:57:20</x:v>
      </x:c>
      <x:c r="AC24" s="38" t="str">
        <x:v>2026/10/08 14:58:39</x:v>
      </x:c>
      <x:c r="AD24" s="38" t="str">
        <x:v>1分19秒</x:v>
      </x:c>
      <x:c r="AE24" s="38" t="str">
        <x:v>2026/10/08 15:05:05</x:v>
      </x:c>
      <x:c r="AF24" s="38" t="str">
        <x:v>2026/10/08 14:58:42</x:v>
      </x:c>
      <x:c r="AG24" s="38" t="str">
        <x:v>2026/10/08 15:05:04</x:v>
      </x:c>
      <x:c r="AH24" s="38" t="str">
        <x:v>6分22秒</x:v>
      </x:c>
      <x:c r="AI24" s="38" t="n">
        <x:v>3</x:v>
      </x:c>
      <x:c r="AJ24" s="38" t="n">
        <x:v>0</x:v>
      </x:c>
      <x:c r="AK24" s="38" t="n">
        <x:v>1</x:v>
      </x:c>
      <x:c r="AL24" s="38" t="str">
        <x:v>一部反映</x:v>
      </x:c>
      <x:c r="AM24" s="38" t="str">
        <x:v>固定読込：A17件／B1件／C3件／D0件。配車指示書Excel・PDF生成済。所要時間：7分45秒。AI事前比較では0件。人最終確認待ち。 要確認／矛盾は確定入力せず。 全地点の順序は要確認。S欄も要確認とした。</x:v>
      </x:c>
      <x:c r="AN24" s="38" t="s">
        <x:v>141</x:v>
      </x:c>
      <x:c r="AO24" s="38" t="s">
        <x:v>219</x:v>
      </x:c>
      <x:c r="AP24" s="38" t="s">
        <x:v>143</x:v>
      </x:c>
      <x:c r="AQ24" s="38" t="s">
        <x:v>144</x:v>
      </x:c>
      <x:c r="AR24" s="38" t="s">
        <x:v>220</x:v>
      </x:c>
      <x:c r="AS24" s="38" t="s">
        <x:v>118</x:v>
      </x:c>
      <x:c r="AT24" s="38" t="s">
        <x:v>146</x:v>
      </x:c>
      <x:c r="AU24" s="38" t="s">
        <x:v>147</x:v>
      </x:c>
      <x:c r="AV24" s="38" t="s">
        <x:v>221</x:v>
      </x:c>
    </x:row>
    <x:row r="25" ht="17.649999618530273" customHeight="1">
      <x:c r="A25" s="38">
        <x:v>19</x:v>
      </x:c>
      <x:c r="B25" s="38" t="str">
        <x:v>2026/10/08</x:v>
      </x:c>
      <x:c r="C25" s="38" t="s">
        <x:v>222</x:v>
      </x:c>
      <x:c r="D25" s="38" t="str">
        <x:v>T06</x:v>
      </x:c>
      <x:c r="E25" s="38" t="str">
        <x:v>FAX帳票＋手書き時刻表現</x:v>
      </x:c>
      <x:c r="F25" s="38" t="str">
        <x:v>埼玉県さいたま市岩槻区</x:v>
      </x:c>
      <x:c r="G25" s="38" t="str">
        <x:v>滋賀県湖南市</x:v>
      </x:c>
      <x:c r="H25" s="38" t="str">
        <x:v>中</x:v>
      </x:c>
      <x:c r="I25" s="38" t="str">
        <x:v>あり</x:v>
      </x:c>
      <x:c r="J25" s="38" t="n">
        <x:v>10</x:v>
      </x:c>
      <x:c r="K25" s="38" t="n">
        <x:v>6.13</x:v>
      </x:c>
      <x:c r="L25" s="38"/>
      <x:c r="M25" s="38"/>
      <x:c r="N25" s="38"/>
      <x:c r="O25" s="38" t="n">
        <x:v>13</x:v>
      </x:c>
      <x:c r="P25" s="38" t="n">
        <x:v>4</x:v>
      </x:c>
      <x:c r="Q25" s="38" t="n">
        <x:v>0</x:v>
      </x:c>
      <x:c r="R25" s="38" t="n">
        <x:v>0</x:v>
      </x:c>
      <x:c r="S25" s="38" t="n">
        <x:v>0</x:v>
      </x:c>
      <x:c r="T25" s="38" t="n">
        <x:v>0</x:v>
      </x:c>
      <x:c r="U25" s="38" t="str">
        <x:v>成功</x:v>
      </x:c>
      <x:c r="V25" s="38"/>
      <x:c r="W25" s="38"/>
      <x:c r="X25" s="38"/>
      <x:c r="Y25" s="38"/>
      <x:c r="Z25" s="38" t="str">
        <x:v>AI工程完了・人最終確認待ち。AI事前比較：誤読0件、勝手な確定0件、順序評価は原本条件に準拠、禁止情報0件。難易度10/16点。</x:v>
      </x:c>
      <x:c r="AA25" s="38" t="str">
        <x:v>2026/10/08 14:59:06</x:v>
      </x:c>
      <x:c r="AB25" s="38" t="str">
        <x:v>2026/10/08 14:59:06</x:v>
      </x:c>
      <x:c r="AC25" s="38" t="str">
        <x:v>2026/10/08 14:59:41</x:v>
      </x:c>
      <x:c r="AD25" s="38" t="str">
        <x:v>0分35秒</x:v>
      </x:c>
      <x:c r="AE25" s="38" t="str">
        <x:v>2026/10/08 15:05:13</x:v>
      </x:c>
      <x:c r="AF25" s="38" t="str">
        <x:v>2026/10/08 14:59:44</x:v>
      </x:c>
      <x:c r="AG25" s="38" t="str">
        <x:v>2026/10/08 15:05:12</x:v>
      </x:c>
      <x:c r="AH25" s="38" t="str">
        <x:v>5分28秒</x:v>
      </x:c>
      <x:c r="AI25" s="38" t="n">
        <x:v>3</x:v>
      </x:c>
      <x:c r="AJ25" s="38" t="n">
        <x:v>1</x:v>
      </x:c>
      <x:c r="AK25" s="38" t="n">
        <x:v>5</x:v>
      </x:c>
      <x:c r="AL25" s="38" t="str">
        <x:v>一部反映</x:v>
      </x:c>
      <x:c r="AM25" s="38" t="str">
        <x:v>固定読込：A13件／B4件／C3件／D1件。配車指示書Excel・PDF生成済。所要時間：6分08秒。AI事前比較では0件。人最終確認待ち。 要確認／矛盾は確定入力せず。</x:v>
      </x:c>
      <x:c r="AN25" s="38" t="s">
        <x:v>168</x:v>
      </x:c>
      <x:c r="AO25" s="38" t="s">
        <x:v>154</x:v>
      </x:c>
      <x:c r="AP25" s="38" t="s">
        <x:v>170</x:v>
      </x:c>
      <x:c r="AQ25" s="38" t="s">
        <x:v>171</x:v>
      </x:c>
      <x:c r="AR25" s="38" t="s">
        <x:v>223</x:v>
      </x:c>
      <x:c r="AS25" s="38" t="s">
        <x:v>118</x:v>
      </x:c>
      <x:c r="AT25" s="38" t="s">
        <x:v>173</x:v>
      </x:c>
      <x:c r="AU25" s="38" t="s">
        <x:v>174</x:v>
      </x:c>
      <x:c r="AV25" s="38" t="s">
        <x:v>224</x:v>
      </x:c>
    </x:row>
    <x:row r="26" ht="26.399999618530273" customHeight="1">
      <x:c r="A26" s="38">
        <x:v>20</x:v>
      </x:c>
      <x:c r="B26" s="38" t="str">
        <x:v>2026/10/08</x:v>
      </x:c>
      <x:c r="C26" s="38" t="s">
        <x:v>225</x:v>
      </x:c>
      <x:c r="D26" s="38" t="str">
        <x:v>T13</x:v>
      </x:c>
      <x:c r="E26" s="38" t="str">
        <x:v>定型印字帳票＋写真・付箋・手書き地図</x:v>
      </x:c>
      <x:c r="F26" s="38" t="str">
        <x:v>茨城県つくば市</x:v>
      </x:c>
      <x:c r="G26" s="38" t="str">
        <x:v>千葉県市原市</x:v>
      </x:c>
      <x:c r="H26" s="38" t="str">
        <x:v>中</x:v>
      </x:c>
      <x:c r="I26" s="38" t="str">
        <x:v>なし</x:v>
      </x:c>
      <x:c r="J26" s="38" t="n">
        <x:v>16</x:v>
      </x:c>
      <x:c r="K26" s="38" t="n">
        <x:v>5.34</x:v>
      </x:c>
      <x:c r="L26" s="38"/>
      <x:c r="M26" s="38"/>
      <x:c r="N26" s="38"/>
      <x:c r="O26" s="38" t="n">
        <x:v>18</x:v>
      </x:c>
      <x:c r="P26" s="38" t="n">
        <x:v>0</x:v>
      </x:c>
      <x:c r="Q26" s="38" t="n">
        <x:v>0</x:v>
      </x:c>
      <x:c r="R26" s="38" t="n">
        <x:v>0</x:v>
      </x:c>
      <x:c r="S26" s="38" t="n">
        <x:v>0</x:v>
      </x:c>
      <x:c r="T26" s="38" t="n">
        <x:v>0</x:v>
      </x:c>
      <x:c r="U26" s="38" t="str">
        <x:v>成功</x:v>
      </x:c>
      <x:c r="V26" s="38"/>
      <x:c r="W26" s="38"/>
      <x:c r="X26" s="38"/>
      <x:c r="Y26" s="38"/>
      <x:c r="Z26" s="38" t="str">
        <x:v>AI工程完了・人最終確認待ち。AI事前比較：誤読0件、勝手な確定0件、順序評価は原本条件に準拠、禁止情報0件。難易度8/16点。</x:v>
      </x:c>
      <x:c r="AA26" s="38" t="str">
        <x:v>2026/10/08 15:00:03</x:v>
      </x:c>
      <x:c r="AB26" s="38" t="str">
        <x:v>2026/10/08 15:00:03</x:v>
      </x:c>
      <x:c r="AC26" s="38" t="str">
        <x:v>2026/10/08 15:00:32</x:v>
      </x:c>
      <x:c r="AD26" s="38" t="str">
        <x:v>0分29秒</x:v>
      </x:c>
      <x:c r="AE26" s="38" t="str">
        <x:v>2026/10/08 15:05:23</x:v>
      </x:c>
      <x:c r="AF26" s="38" t="str">
        <x:v>2026/10/08 15:00:35</x:v>
      </x:c>
      <x:c r="AG26" s="38" t="str">
        <x:v>2026/10/08 15:05:22</x:v>
      </x:c>
      <x:c r="AH26" s="38" t="str">
        <x:v>4分47秒</x:v>
      </x:c>
      <x:c r="AI26" s="38" t="n">
        <x:v>3</x:v>
      </x:c>
      <x:c r="AJ26" s="38" t="n">
        <x:v>0</x:v>
      </x:c>
      <x:c r="AK26" s="38" t="n">
        <x:v>0</x:v>
      </x:c>
      <x:c r="AL26" s="38" t="str">
        <x:v>反映済</x:v>
      </x:c>
      <x:c r="AM26" s="38" t="str">
        <x:v>固定読込：A18件／B0件／C3件／D0件。配車指示書Excel・PDF生成済。所要時間：5分21秒。AI事前比較では0件。人最終確認待ち。</x:v>
      </x:c>
      <x:c r="AN26" s="38" t="s">
        <x:v>226</x:v>
      </x:c>
      <x:c r="AO26" s="38" t="s">
        <x:v>227</x:v>
      </x:c>
      <x:c r="AP26" s="38" t="s">
        <x:v>228</x:v>
      </x:c>
      <x:c r="AQ26" s="38" t="s">
        <x:v>229</x:v>
      </x:c>
      <x:c r="AR26" s="38" t="s">
        <x:v>230</x:v>
      </x:c>
      <x:c r="AS26" s="38" t="s">
        <x:v>118</x:v>
      </x:c>
      <x:c r="AT26" s="38" t="s">
        <x:v>231</x:v>
      </x:c>
      <x:c r="AU26" s="38" t="s">
        <x:v>232</x:v>
      </x:c>
      <x:c r="AV26" s="38" t="s">
        <x:v>233</x:v>
      </x:c>
    </x:row>
    <x:row r="27" ht="17.649999618530273" customHeight="1">
      <x:c r="A27" s="38">
        <x:v>21</x:v>
      </x:c>
      <x:c r="B27" s="38" t="str">
        <x:v>2026/10/08</x:v>
      </x:c>
      <x:c r="C27" s="38" t="s">
        <x:v>234</x:v>
      </x:c>
      <x:c r="D27" s="38" t="str">
        <x:v>T01</x:v>
      </x:c>
      <x:c r="E27" s="38" t="str">
        <x:v>定型印字帳票</x:v>
      </x:c>
      <x:c r="F27" s="38" t="str">
        <x:v>埼玉県川越市</x:v>
      </x:c>
      <x:c r="G27" s="38" t="str">
        <x:v>大阪府茨木市</x:v>
      </x:c>
      <x:c r="H27" s="38" t="str">
        <x:v>低</x:v>
      </x:c>
      <x:c r="I27" s="38" t="str">
        <x:v>なし</x:v>
      </x:c>
      <x:c r="J27" s="38" t="n">
        <x:v>17</x:v>
      </x:c>
      <x:c r="K27" s="38" t="n">
        <x:v>0.53</x:v>
      </x:c>
      <x:c r="L27" s="38"/>
      <x:c r="M27" s="38"/>
      <x:c r="N27" s="38"/>
      <x:c r="O27" s="38" t="n">
        <x:v>20</x:v>
      </x:c>
      <x:c r="P27" s="38" t="n">
        <x:v>0</x:v>
      </x:c>
      <x:c r="Q27" s="38" t="n">
        <x:v>0</x:v>
      </x:c>
      <x:c r="R27" s="38" t="n">
        <x:v>0</x:v>
      </x:c>
      <x:c r="S27" s="38" t="n">
        <x:v>0</x:v>
      </x:c>
      <x:c r="T27" s="38" t="n">
        <x:v>0</x:v>
      </x:c>
      <x:c r="U27" s="38" t="str">
        <x:v>成功</x:v>
      </x:c>
      <x:c r="V27" s="38"/>
      <x:c r="W27" s="38"/>
      <x:c r="X27" s="38"/>
      <x:c r="Y27" s="38"/>
      <x:c r="Z27" s="38" t="str">
        <x:v>AI工程完了・人最終確認待ち。AI事前比較：誤読0件、勝手な確定0件、順序評価は原本条件に準拠、禁止情報0件。難易度4/16点。</x:v>
      </x:c>
      <x:c r="AA27" s="38" t="str">
        <x:v>2026/10/08 15:15:09</x:v>
      </x:c>
      <x:c r="AB27" s="38" t="str">
        <x:v>2026/10/08 15:15:09</x:v>
      </x:c>
      <x:c r="AC27" s="38" t="str">
        <x:v>2026/10/08 15:15:32</x:v>
      </x:c>
      <x:c r="AD27" s="38" t="str">
        <x:v>0分23秒</x:v>
      </x:c>
      <x:c r="AE27" s="38" t="str">
        <x:v>2026/10/08 15:15:40</x:v>
      </x:c>
      <x:c r="AF27" s="38" t="str">
        <x:v>2026/10/08 15:15:36</x:v>
      </x:c>
      <x:c r="AG27" s="38" t="str">
        <x:v>2026/10/08 15:15:39</x:v>
      </x:c>
      <x:c r="AH27" s="38" t="str">
        <x:v>0分03秒</x:v>
      </x:c>
      <x:c r="AI27" s="38" t="n">
        <x:v>1</x:v>
      </x:c>
      <x:c r="AJ27" s="38" t="n">
        <x:v>0</x:v>
      </x:c>
      <x:c r="AK27" s="38" t="n">
        <x:v>0</x:v>
      </x:c>
      <x:c r="AL27" s="38" t="str">
        <x:v>反映済</x:v>
      </x:c>
      <x:c r="AM27" s="38" t="str">
        <x:v>固定読込：A20件／B0件／C1件／D0件。配車指示書Excel・PDF生成済。所要時間：0分32秒。AI事前比較では0件。人最終確認待ち。</x:v>
      </x:c>
      <x:c r="AN27" s="38" t="s">
        <x:v>113</x:v>
      </x:c>
      <x:c r="AO27" s="38" t="s">
        <x:v>235</x:v>
      </x:c>
      <x:c r="AP27" s="38" t="s">
        <x:v>115</x:v>
      </x:c>
      <x:c r="AQ27" s="38" t="s">
        <x:v>116</x:v>
      </x:c>
      <x:c r="AR27" s="38" t="s">
        <x:v>236</x:v>
      </x:c>
      <x:c r="AS27" s="38" t="s">
        <x:v>118</x:v>
      </x:c>
      <x:c r="AT27" s="38" t="s">
        <x:v>119</x:v>
      </x:c>
      <x:c r="AU27" s="38" t="s">
        <x:v>120</x:v>
      </x:c>
      <x:c r="AV27" s="38" t="s">
        <x:v>237</x:v>
      </x:c>
    </x:row>
    <x:row r="28" ht="17.649999618530273" customHeight="1">
      <x:c r="A28" s="38">
        <x:v>22</x:v>
      </x:c>
      <x:c r="B28" s="38" t="str">
        <x:v>2026/10/08</x:v>
      </x:c>
      <x:c r="C28" s="38" t="s">
        <x:v>238</x:v>
      </x:c>
      <x:c r="D28" s="38" t="str">
        <x:v>T09</x:v>
      </x:c>
      <x:c r="E28" s="38" t="str">
        <x:v>劣化FAX＋運賃記載</x:v>
      </x:c>
      <x:c r="F28" s="38" t="str">
        <x:v>神奈川県厚木市</x:v>
      </x:c>
      <x:c r="G28" s="38" t="str">
        <x:v>愛知県小牧市</x:v>
      </x:c>
      <x:c r="H28" s="38" t="str">
        <x:v>中</x:v>
      </x:c>
      <x:c r="I28" s="38" t="str">
        <x:v>なし</x:v>
      </x:c>
      <x:c r="J28" s="38" t="n">
        <x:v>10</x:v>
      </x:c>
      <x:c r="K28" s="38" t="n">
        <x:v>8.74</x:v>
      </x:c>
      <x:c r="L28" s="38"/>
      <x:c r="M28" s="38"/>
      <x:c r="N28" s="38"/>
      <x:c r="O28" s="38" t="n">
        <x:v>12</x:v>
      </x:c>
      <x:c r="P28" s="38" t="n">
        <x:v>5</x:v>
      </x:c>
      <x:c r="Q28" s="38" t="n">
        <x:v>0</x:v>
      </x:c>
      <x:c r="R28" s="38" t="n">
        <x:v>0</x:v>
      </x:c>
      <x:c r="S28" s="38" t="n">
        <x:v>0</x:v>
      </x:c>
      <x:c r="T28" s="38" t="n">
        <x:v>0</x:v>
      </x:c>
      <x:c r="U28" s="38" t="str">
        <x:v>成功</x:v>
      </x:c>
      <x:c r="V28" s="38"/>
      <x:c r="W28" s="38"/>
      <x:c r="X28" s="38"/>
      <x:c r="Y28" s="38"/>
      <x:c r="Z28" s="38" t="str">
        <x:v>AI工程完了・人最終確認待ち。AI事前比較：誤読0件、勝手な確定0件、順序評価は原本条件に準拠、禁止情報0件。難易度7/16点。</x:v>
      </x:c>
      <x:c r="AA28" s="38" t="str">
        <x:v>2026/10/08 15:15:53</x:v>
      </x:c>
      <x:c r="AB28" s="38" t="str">
        <x:v>2026/10/08 15:15:53</x:v>
      </x:c>
      <x:c r="AC28" s="38" t="str">
        <x:v>2026/10/08 15:16:19</x:v>
      </x:c>
      <x:c r="AD28" s="38" t="str">
        <x:v>0分26秒</x:v>
      </x:c>
      <x:c r="AE28" s="38" t="str">
        <x:v>2026/10/08 15:24:37</x:v>
      </x:c>
      <x:c r="AF28" s="38" t="str">
        <x:v>2026/10/08 15:16:23</x:v>
      </x:c>
      <x:c r="AG28" s="38" t="str">
        <x:v>2026/10/08 15:24:36</x:v>
      </x:c>
      <x:c r="AH28" s="38" t="str">
        <x:v>8分13秒</x:v>
      </x:c>
      <x:c r="AI28" s="38" t="n">
        <x:v>4</x:v>
      </x:c>
      <x:c r="AJ28" s="38" t="n">
        <x:v>0</x:v>
      </x:c>
      <x:c r="AK28" s="38" t="n">
        <x:v>5</x:v>
      </x:c>
      <x:c r="AL28" s="38" t="str">
        <x:v>一部反映</x:v>
      </x:c>
      <x:c r="AM28" s="38" t="str">
        <x:v>固定読込：A12件／B5件／C4件／D0件。配車指示書Excel・PDF生成済。所要時間：8分44秒。AI事前比較では0件。人最終確認待ち。 要確認／矛盾は確定入力せず。</x:v>
      </x:c>
      <x:c r="AN28" s="38" t="s">
        <x:v>191</x:v>
      </x:c>
      <x:c r="AO28" s="38" t="s">
        <x:v>154</x:v>
      </x:c>
      <x:c r="AP28" s="38" t="s">
        <x:v>192</x:v>
      </x:c>
      <x:c r="AQ28" s="38" t="s">
        <x:v>193</x:v>
      </x:c>
      <x:c r="AR28" s="38" t="s">
        <x:v>239</x:v>
      </x:c>
      <x:c r="AS28" s="38" t="s">
        <x:v>195</x:v>
      </x:c>
      <x:c r="AT28" s="38" t="s">
        <x:v>196</x:v>
      </x:c>
      <x:c r="AU28" s="38" t="s">
        <x:v>197</x:v>
      </x:c>
      <x:c r="AV28" s="38" t="s">
        <x:v>240</x:v>
      </x:c>
    </x:row>
    <x:row r="29" ht="17.649999618530273" customHeight="1">
      <x:c r="A29" s="38">
        <x:v>23</x:v>
      </x:c>
      <x:c r="B29" s="38" t="str">
        <x:v>2026/10/08</x:v>
      </x:c>
      <x:c r="C29" s="38" t="s">
        <x:v>241</x:v>
      </x:c>
      <x:c r="D29" s="38" t="str">
        <x:v>T07</x:v>
      </x:c>
      <x:c r="E29" s="38" t="str">
        <x:v>全手書きメモ＋訂正</x:v>
      </x:c>
      <x:c r="F29" s="38" t="str">
        <x:v>埼玉県川越市</x:v>
      </x:c>
      <x:c r="G29" s="38" t="str">
        <x:v>長野県長野市</x:v>
      </x:c>
      <x:c r="H29" s="38" t="str">
        <x:v>中</x:v>
      </x:c>
      <x:c r="I29" s="38" t="str">
        <x:v>なし</x:v>
      </x:c>
      <x:c r="J29" s="38" t="n">
        <x:v>16</x:v>
      </x:c>
      <x:c r="K29" s="38" t="n">
        <x:v>0.61</x:v>
      </x:c>
      <x:c r="L29" s="38"/>
      <x:c r="M29" s="38"/>
      <x:c r="N29" s="38"/>
      <x:c r="O29" s="38" t="n">
        <x:v>18</x:v>
      </x:c>
      <x:c r="P29" s="38" t="n">
        <x:v>0</x:v>
      </x:c>
      <x:c r="Q29" s="38" t="n">
        <x:v>0</x:v>
      </x:c>
      <x:c r="R29" s="38" t="n">
        <x:v>0</x:v>
      </x:c>
      <x:c r="S29" s="38" t="n">
        <x:v>0</x:v>
      </x:c>
      <x:c r="T29" s="38" t="n">
        <x:v>0</x:v>
      </x:c>
      <x:c r="U29" s="38" t="str">
        <x:v>成功</x:v>
      </x:c>
      <x:c r="V29" s="38"/>
      <x:c r="W29" s="38"/>
      <x:c r="X29" s="38"/>
      <x:c r="Y29" s="38"/>
      <x:c r="Z29" s="38" t="str">
        <x:v>AI工程完了・人最終確認待ち。AI事前比較：誤読0件、勝手な確定0件、順序評価は原本条件に準拠、禁止情報0件。難易度9/16点。</x:v>
      </x:c>
      <x:c r="AA29" s="38" t="str">
        <x:v>2026/10/08 15:16:31</x:v>
      </x:c>
      <x:c r="AB29" s="38" t="str">
        <x:v>2026/10/08 15:16:31</x:v>
      </x:c>
      <x:c r="AC29" s="38" t="str">
        <x:v>2026/10/08 15:17:00</x:v>
      </x:c>
      <x:c r="AD29" s="38" t="str">
        <x:v>0分29秒</x:v>
      </x:c>
      <x:c r="AE29" s="38" t="str">
        <x:v>2026/10/08 15:17:07</x:v>
      </x:c>
      <x:c r="AF29" s="38" t="str">
        <x:v>2026/10/08 15:17:03</x:v>
      </x:c>
      <x:c r="AG29" s="38" t="str">
        <x:v>2026/10/08 15:17:06</x:v>
      </x:c>
      <x:c r="AH29" s="38" t="str">
        <x:v>0分03秒</x:v>
      </x:c>
      <x:c r="AI29" s="38" t="n">
        <x:v>2</x:v>
      </x:c>
      <x:c r="AJ29" s="38" t="n">
        <x:v>1</x:v>
      </x:c>
      <x:c r="AK29" s="38" t="n">
        <x:v>1</x:v>
      </x:c>
      <x:c r="AL29" s="38" t="str">
        <x:v>一部反映</x:v>
      </x:c>
      <x:c r="AM29" s="38" t="str">
        <x:v>固定読込：A18件／B0件／C2件／D1件。配車指示書Excel・PDF生成済。所要時間：0分37秒。AI事前比較では0件。人最終確認待ち。 要確認／矛盾は確定入力せず。</x:v>
      </x:c>
      <x:c r="AN29" s="38" t="s">
        <x:v>141</x:v>
      </x:c>
      <x:c r="AO29" s="38" t="s">
        <x:v>242</x:v>
      </x:c>
      <x:c r="AP29" s="38" t="s">
        <x:v>143</x:v>
      </x:c>
      <x:c r="AQ29" s="38" t="s">
        <x:v>144</x:v>
      </x:c>
      <x:c r="AR29" s="38" t="s">
        <x:v>243</x:v>
      </x:c>
      <x:c r="AS29" s="38" t="s">
        <x:v>118</x:v>
      </x:c>
      <x:c r="AT29" s="38" t="s">
        <x:v>146</x:v>
      </x:c>
      <x:c r="AU29" s="38" t="s">
        <x:v>147</x:v>
      </x:c>
      <x:c r="AV29" s="38" t="s">
        <x:v>244</x:v>
      </x:c>
    </x:row>
    <x:row r="30" ht="17.649999618530273" customHeight="1">
      <x:c r="A30" s="38">
        <x:v>24</x:v>
      </x:c>
      <x:c r="B30" s="38" t="str">
        <x:v>2026/10/08</x:v>
      </x:c>
      <x:c r="C30" s="38" t="s">
        <x:v>245</x:v>
      </x:c>
      <x:c r="D30" s="38" t="str">
        <x:v>T04</x:v>
      </x:c>
      <x:c r="E30" s="38" t="str">
        <x:v>メール印刷</x:v>
      </x:c>
      <x:c r="F30" s="38" t="str">
        <x:v>埼玉県加須市</x:v>
      </x:c>
      <x:c r="G30" s="38" t="str">
        <x:v>宮城県仙台市宮城野区</x:v>
      </x:c>
      <x:c r="H30" s="38" t="str">
        <x:v>低</x:v>
      </x:c>
      <x:c r="I30" s="38" t="str">
        <x:v>なし</x:v>
      </x:c>
      <x:c r="J30" s="38" t="n">
        <x:v>13</x:v>
      </x:c>
      <x:c r="K30" s="38" t="n">
        <x:v>0.5</x:v>
      </x:c>
      <x:c r="L30" s="38"/>
      <x:c r="M30" s="38"/>
      <x:c r="N30" s="38"/>
      <x:c r="O30" s="38" t="n">
        <x:v>16</x:v>
      </x:c>
      <x:c r="P30" s="38" t="n">
        <x:v>0</x:v>
      </x:c>
      <x:c r="Q30" s="38" t="n">
        <x:v>0</x:v>
      </x:c>
      <x:c r="R30" s="38" t="n">
        <x:v>0</x:v>
      </x:c>
      <x:c r="S30" s="38" t="n">
        <x:v>0</x:v>
      </x:c>
      <x:c r="T30" s="38" t="n">
        <x:v>0</x:v>
      </x:c>
      <x:c r="U30" s="38" t="str">
        <x:v>成功</x:v>
      </x:c>
      <x:c r="V30" s="38"/>
      <x:c r="W30" s="38"/>
      <x:c r="X30" s="38"/>
      <x:c r="Y30" s="38"/>
      <x:c r="Z30" s="38" t="str">
        <x:v>AI工程完了・人最終確認待ち。AI事前比較：誤読0件、勝手な確定0件、順序評価は原本条件に準拠、禁止情報0件。難易度5/16点。</x:v>
      </x:c>
      <x:c r="AA30" s="38" t="str">
        <x:v>2026/10/08 15:17:26</x:v>
      </x:c>
      <x:c r="AB30" s="38" t="str">
        <x:v>2026/10/08 15:17:26</x:v>
      </x:c>
      <x:c r="AC30" s="38" t="str">
        <x:v>2026/10/08 15:17:48</x:v>
      </x:c>
      <x:c r="AD30" s="38" t="str">
        <x:v>0分22秒</x:v>
      </x:c>
      <x:c r="AE30" s="38" t="str">
        <x:v>2026/10/08 15:17:56</x:v>
      </x:c>
      <x:c r="AF30" s="38" t="str">
        <x:v>2026/10/08 15:17:52</x:v>
      </x:c>
      <x:c r="AG30" s="38" t="str">
        <x:v>2026/10/08 15:17:55</x:v>
      </x:c>
      <x:c r="AH30" s="38" t="str">
        <x:v>0分03秒</x:v>
      </x:c>
      <x:c r="AI30" s="38" t="n">
        <x:v>5</x:v>
      </x:c>
      <x:c r="AJ30" s="38" t="n">
        <x:v>0</x:v>
      </x:c>
      <x:c r="AK30" s="38" t="n">
        <x:v>0</x:v>
      </x:c>
      <x:c r="AL30" s="38" t="str">
        <x:v>反映済</x:v>
      </x:c>
      <x:c r="AM30" s="38" t="str">
        <x:v>固定読込：A16件／B0件／C5件／D0件。配車指示書Excel・PDF生成済。所要時間：0分30秒。AI事前比較では0件。人最終確認待ち。</x:v>
      </x:c>
      <x:c r="AN30" s="38" t="s">
        <x:v>200</x:v>
      </x:c>
      <x:c r="AO30" s="38" t="s">
        <x:v>142</x:v>
      </x:c>
      <x:c r="AP30" s="38" t="s">
        <x:v>201</x:v>
      </x:c>
      <x:c r="AQ30" s="38" t="s">
        <x:v>202</x:v>
      </x:c>
      <x:c r="AR30" s="38" t="s">
        <x:v>246</x:v>
      </x:c>
      <x:c r="AS30" s="38" t="s">
        <x:v>118</x:v>
      </x:c>
      <x:c r="AT30" s="38" t="s">
        <x:v>204</x:v>
      </x:c>
      <x:c r="AU30" s="38" t="s">
        <x:v>205</x:v>
      </x:c>
      <x:c r="AV30" s="38" t="s">
        <x:v>247</x:v>
      </x:c>
    </x:row>
    <x:row r="31" ht="17.649999618530273" customHeight="1">
      <x:c r="A31" s="38">
        <x:v>25</x:v>
      </x:c>
      <x:c r="B31" s="38" t="str">
        <x:v>2026/10/08</x:v>
      </x:c>
      <x:c r="C31" s="38" t="s">
        <x:v>248</x:v>
      </x:c>
      <x:c r="D31" s="38" t="str">
        <x:v>T05</x:v>
      </x:c>
      <x:c r="E31" s="38" t="str">
        <x:v>複数地点ルート表（印字）</x:v>
      </x:c>
      <x:c r="F31" s="38" t="str">
        <x:v>埼玉県加須市／神奈川県厚木市</x:v>
      </x:c>
      <x:c r="G31" s="38" t="str">
        <x:v>岡山県岡山市北区／香川県高松市</x:v>
      </x:c>
      <x:c r="H31" s="38" t="str">
        <x:v>中</x:v>
      </x:c>
      <x:c r="I31" s="38" t="str">
        <x:v>なし</x:v>
      </x:c>
      <x:c r="J31" s="38" t="n">
        <x:v>33</x:v>
      </x:c>
      <x:c r="K31" s="38" t="n">
        <x:v>7.99</x:v>
      </x:c>
      <x:c r="L31" s="38"/>
      <x:c r="M31" s="38"/>
      <x:c r="N31" s="38"/>
      <x:c r="O31" s="38" t="n">
        <x:v>20</x:v>
      </x:c>
      <x:c r="P31" s="38" t="n">
        <x:v>0</x:v>
      </x:c>
      <x:c r="Q31" s="38" t="n">
        <x:v>0</x:v>
      </x:c>
      <x:c r="R31" s="38" t="n">
        <x:v>0</x:v>
      </x:c>
      <x:c r="S31" s="38" t="n">
        <x:v>0</x:v>
      </x:c>
      <x:c r="T31" s="38" t="n">
        <x:v>0</x:v>
      </x:c>
      <x:c r="U31" s="38" t="str">
        <x:v>成功</x:v>
      </x:c>
      <x:c r="V31" s="38"/>
      <x:c r="W31" s="38"/>
      <x:c r="X31" s="38"/>
      <x:c r="Y31" s="38"/>
      <x:c r="Z31" s="38" t="str">
        <x:v>AI工程完了・人最終確認待ち。AI事前比較：誤読0件、勝手な確定0件、順序評価は原本条件に準拠、禁止情報0件。難易度7/16点。</x:v>
      </x:c>
      <x:c r="AA31" s="38" t="str">
        <x:v>2026/10/08 15:18:08</x:v>
      </x:c>
      <x:c r="AB31" s="38" t="str">
        <x:v>2026/10/08 15:18:08</x:v>
      </x:c>
      <x:c r="AC31" s="38" t="str">
        <x:v>2026/10/08 15:18:39</x:v>
      </x:c>
      <x:c r="AD31" s="38" t="str">
        <x:v>0分31秒</x:v>
      </x:c>
      <x:c r="AE31" s="38" t="str">
        <x:v>2026/10/08 15:26:07</x:v>
      </x:c>
      <x:c r="AF31" s="38" t="str">
        <x:v>2026/10/08 15:18:42</x:v>
      </x:c>
      <x:c r="AG31" s="38" t="str">
        <x:v>2026/10/08 15:26:06</x:v>
      </x:c>
      <x:c r="AH31" s="38" t="str">
        <x:v>7分24秒</x:v>
      </x:c>
      <x:c r="AI31" s="38" t="n">
        <x:v>1</x:v>
      </x:c>
      <x:c r="AJ31" s="38" t="n">
        <x:v>0</x:v>
      </x:c>
      <x:c r="AK31" s="38" t="n">
        <x:v>0</x:v>
      </x:c>
      <x:c r="AL31" s="38" t="str">
        <x:v>反映済</x:v>
      </x:c>
      <x:c r="AM31" s="38" t="str">
        <x:v>固定読込：A20件／B0件／C1件／D0件。配車指示書Excel・PDF生成済。所要時間：7分59秒。AI事前比較では0件。人最終確認待ち。</x:v>
      </x:c>
      <x:c r="AN31" s="38" t="s">
        <x:v>158</x:v>
      </x:c>
      <x:c r="AO31" s="38" t="s">
        <x:v>249</x:v>
      </x:c>
      <x:c r="AP31" s="38" t="s">
        <x:v>160</x:v>
      </x:c>
      <x:c r="AQ31" s="38" t="s">
        <x:v>161</x:v>
      </x:c>
      <x:c r="AR31" s="38" t="s">
        <x:v>250</x:v>
      </x:c>
      <x:c r="AS31" s="38" t="s">
        <x:v>163</x:v>
      </x:c>
      <x:c r="AT31" s="38" t="s">
        <x:v>164</x:v>
      </x:c>
      <x:c r="AU31" s="38" t="s">
        <x:v>165</x:v>
      </x:c>
      <x:c r="AV31" s="38" t="s">
        <x:v>251</x:v>
      </x:c>
    </x:row>
    <x:row r="32" ht="17.649999618530273" customHeight="1">
      <x:c r="A32" s="38">
        <x:v>26</x:v>
      </x:c>
      <x:c r="B32" s="38" t="str">
        <x:v>2026/10/08</x:v>
      </x:c>
      <x:c r="C32" s="38" t="s">
        <x:v>252</x:v>
      </x:c>
      <x:c r="D32" s="38" t="str">
        <x:v>T06</x:v>
      </x:c>
      <x:c r="E32" s="38" t="str">
        <x:v>FAX帳票＋手書き時刻指定</x:v>
      </x:c>
      <x:c r="F32" s="38" t="str">
        <x:v>群馬県高崎市</x:v>
      </x:c>
      <x:c r="G32" s="38" t="str">
        <x:v>福岡県糟屋郡粕屋町</x:v>
      </x:c>
      <x:c r="H32" s="38" t="str">
        <x:v>中</x:v>
      </x:c>
      <x:c r="I32" s="38" t="str">
        <x:v>なし</x:v>
      </x:c>
      <x:c r="J32" s="38" t="n">
        <x:v>16</x:v>
      </x:c>
      <x:c r="K32" s="38" t="n">
        <x:v>0.62</x:v>
      </x:c>
      <x:c r="L32" s="38"/>
      <x:c r="M32" s="38"/>
      <x:c r="N32" s="38"/>
      <x:c r="O32" s="38" t="n">
        <x:v>19</x:v>
      </x:c>
      <x:c r="P32" s="38" t="n">
        <x:v>0</x:v>
      </x:c>
      <x:c r="Q32" s="38" t="n">
        <x:v>0</x:v>
      </x:c>
      <x:c r="R32" s="38" t="n">
        <x:v>0</x:v>
      </x:c>
      <x:c r="S32" s="38" t="n">
        <x:v>0</x:v>
      </x:c>
      <x:c r="T32" s="38" t="n">
        <x:v>0</x:v>
      </x:c>
      <x:c r="U32" s="38" t="str">
        <x:v>成功</x:v>
      </x:c>
      <x:c r="V32" s="38"/>
      <x:c r="W32" s="38"/>
      <x:c r="X32" s="38"/>
      <x:c r="Y32" s="38"/>
      <x:c r="Z32" s="38" t="str">
        <x:v>AI工程完了・人最終確認待ち。AI事前比較：誤読0件、勝手な確定0件、順序評価は原本条件に準拠、禁止情報0件。難易度9/16点。</x:v>
      </x:c>
      <x:c r="AA32" s="38" t="str">
        <x:v>2026/10/08 15:19:03</x:v>
      </x:c>
      <x:c r="AB32" s="38" t="str">
        <x:v>2026/10/08 15:19:03</x:v>
      </x:c>
      <x:c r="AC32" s="38" t="str">
        <x:v>2026/10/08 15:19:31</x:v>
      </x:c>
      <x:c r="AD32" s="38" t="str">
        <x:v>0分28秒</x:v>
      </x:c>
      <x:c r="AE32" s="38" t="str">
        <x:v>2026/10/08 15:19:39</x:v>
      </x:c>
      <x:c r="AF32" s="38" t="str">
        <x:v>2026/10/08 15:19:35</x:v>
      </x:c>
      <x:c r="AG32" s="38" t="str">
        <x:v>2026/10/08 15:19:38</x:v>
      </x:c>
      <x:c r="AH32" s="38" t="str">
        <x:v>0分03秒</x:v>
      </x:c>
      <x:c r="AI32" s="38" t="n">
        <x:v>1</x:v>
      </x:c>
      <x:c r="AJ32" s="38" t="n">
        <x:v>1</x:v>
      </x:c>
      <x:c r="AK32" s="38" t="n">
        <x:v>1</x:v>
      </x:c>
      <x:c r="AL32" s="38" t="str">
        <x:v>一部反映</x:v>
      </x:c>
      <x:c r="AM32" s="38" t="str">
        <x:v>固定読込：A19件／B0件／C1件／D1件。配車指示書Excel・PDF生成済。所要時間：0分37秒。AI事前比較では0件。人最終確認待ち。 要確認／矛盾は確定入力せず。</x:v>
      </x:c>
      <x:c r="AN32" s="38" t="s">
        <x:v>168</x:v>
      </x:c>
      <x:c r="AO32" s="38" t="s">
        <x:v>253</x:v>
      </x:c>
      <x:c r="AP32" s="38" t="s">
        <x:v>170</x:v>
      </x:c>
      <x:c r="AQ32" s="38" t="s">
        <x:v>171</x:v>
      </x:c>
      <x:c r="AR32" s="38" t="s">
        <x:v>254</x:v>
      </x:c>
      <x:c r="AS32" s="38" t="s">
        <x:v>118</x:v>
      </x:c>
      <x:c r="AT32" s="38" t="s">
        <x:v>173</x:v>
      </x:c>
      <x:c r="AU32" s="38" t="s">
        <x:v>174</x:v>
      </x:c>
      <x:c r="AV32" s="38" t="s">
        <x:v>255</x:v>
      </x:c>
    </x:row>
    <x:row r="33" ht="17.649999618530273" customHeight="1">
      <x:c r="A33" s="38">
        <x:v>27</x:v>
      </x:c>
      <x:c r="B33" s="38" t="str">
        <x:v>2026/10/08</x:v>
      </x:c>
      <x:c r="C33" s="38" t="s">
        <x:v>256</x:v>
      </x:c>
      <x:c r="D33" s="38" t="str">
        <x:v>T07</x:v>
      </x:c>
      <x:c r="E33" s="38" t="str">
        <x:v>定型印字帳票＋付箋・追記</x:v>
      </x:c>
      <x:c r="F33" s="38" t="str">
        <x:v>茨城県つくば市</x:v>
      </x:c>
      <x:c r="G33" s="38" t="str">
        <x:v>京都府久世郡久御山町</x:v>
      </x:c>
      <x:c r="H33" s="38" t="str">
        <x:v>中</x:v>
      </x:c>
      <x:c r="I33" s="38" t="str">
        <x:v>なし</x:v>
      </x:c>
      <x:c r="J33" s="38" t="n">
        <x:v>14</x:v>
      </x:c>
      <x:c r="K33" s="38" t="n">
        <x:v>0.69</x:v>
      </x:c>
      <x:c r="L33" s="38"/>
      <x:c r="M33" s="38"/>
      <x:c r="N33" s="38"/>
      <x:c r="O33" s="38" t="n">
        <x:v>17</x:v>
      </x:c>
      <x:c r="P33" s="38" t="n">
        <x:v>0</x:v>
      </x:c>
      <x:c r="Q33" s="38" t="n">
        <x:v>0</x:v>
      </x:c>
      <x:c r="R33" s="38" t="n">
        <x:v>0</x:v>
      </x:c>
      <x:c r="S33" s="38" t="n">
        <x:v>0</x:v>
      </x:c>
      <x:c r="T33" s="38" t="n">
        <x:v>0</x:v>
      </x:c>
      <x:c r="U33" s="38" t="str">
        <x:v>成功</x:v>
      </x:c>
      <x:c r="V33" s="38"/>
      <x:c r="W33" s="38"/>
      <x:c r="X33" s="38"/>
      <x:c r="Y33" s="38"/>
      <x:c r="Z33" s="38" t="str">
        <x:v>AI工程完了・人最終確認待ち。AI事前比較：誤読0件、勝手な確定0件、順序評価は原本条件に準拠、禁止情報0件。難易度8/16点。</x:v>
      </x:c>
      <x:c r="AA33" s="38" t="str">
        <x:v>2026/10/08 15:19:56</x:v>
      </x:c>
      <x:c r="AB33" s="38" t="str">
        <x:v>2026/10/08 15:19:56</x:v>
      </x:c>
      <x:c r="AC33" s="38" t="str">
        <x:v>2026/10/08 15:20:29</x:v>
      </x:c>
      <x:c r="AD33" s="38" t="str">
        <x:v>0分33秒</x:v>
      </x:c>
      <x:c r="AE33" s="38" t="str">
        <x:v>2026/10/08 15:20:37</x:v>
      </x:c>
      <x:c r="AF33" s="38" t="str">
        <x:v>2026/10/08 15:20:32</x:v>
      </x:c>
      <x:c r="AG33" s="38" t="str">
        <x:v>2026/10/08 15:20:36</x:v>
      </x:c>
      <x:c r="AH33" s="38" t="str">
        <x:v>0分04秒</x:v>
      </x:c>
      <x:c r="AI33" s="38" t="n">
        <x:v>3</x:v>
      </x:c>
      <x:c r="AJ33" s="38" t="n">
        <x:v>1</x:v>
      </x:c>
      <x:c r="AK33" s="38" t="n">
        <x:v>1</x:v>
      </x:c>
      <x:c r="AL33" s="38" t="str">
        <x:v>一部反映</x:v>
      </x:c>
      <x:c r="AM33" s="38" t="str">
        <x:v>固定読込：A17件／B0件／C3件／D1件。配車指示書Excel・PDF生成済。所要時間：0分41秒。AI事前比較では0件。人最終確認待ち。 要確認／矛盾は確定入力せず。</x:v>
      </x:c>
      <x:c r="AN33" s="38" t="s">
        <x:v>141</x:v>
      </x:c>
      <x:c r="AO33" s="38" t="s">
        <x:v>150</x:v>
      </x:c>
      <x:c r="AP33" s="38" t="s">
        <x:v>143</x:v>
      </x:c>
      <x:c r="AQ33" s="38" t="s">
        <x:v>144</x:v>
      </x:c>
      <x:c r="AR33" s="38" t="s">
        <x:v>257</x:v>
      </x:c>
      <x:c r="AS33" s="38" t="s">
        <x:v>118</x:v>
      </x:c>
      <x:c r="AT33" s="38" t="s">
        <x:v>146</x:v>
      </x:c>
      <x:c r="AU33" s="38" t="s">
        <x:v>147</x:v>
      </x:c>
      <x:c r="AV33" s="38" t="s">
        <x:v>258</x:v>
      </x:c>
    </x:row>
    <x:row r="34" ht="17.649999618530273" customHeight="1">
      <x:c r="A34" s="38">
        <x:v>28</x:v>
      </x:c>
      <x:c r="B34" s="38" t="str">
        <x:v>2026/10/08</x:v>
      </x:c>
      <x:c r="C34" s="38" t="s">
        <x:v>259</x:v>
      </x:c>
      <x:c r="D34" s="38" t="str">
        <x:v>T08</x:v>
      </x:c>
      <x:c r="E34" s="38" t="str">
        <x:v>定型印字帳票＋未確定・追記</x:v>
      </x:c>
      <x:c r="F34" s="38" t="str">
        <x:v>埼玉県川口市</x:v>
      </x:c>
      <x:c r="G34" s="38" t="str">
        <x:v>広島県福山市</x:v>
      </x:c>
      <x:c r="H34" s="38" t="str">
        <x:v>中</x:v>
      </x:c>
      <x:c r="I34" s="38" t="str">
        <x:v>なし</x:v>
      </x:c>
      <x:c r="J34" s="38" t="n">
        <x:v>14</x:v>
      </x:c>
      <x:c r="K34" s="38" t="n">
        <x:v>0.58</x:v>
      </x:c>
      <x:c r="L34" s="38"/>
      <x:c r="M34" s="38"/>
      <x:c r="N34" s="38"/>
      <x:c r="O34" s="38" t="n">
        <x:v>17</x:v>
      </x:c>
      <x:c r="P34" s="38" t="n">
        <x:v>3</x:v>
      </x:c>
      <x:c r="Q34" s="38" t="n">
        <x:v>0</x:v>
      </x:c>
      <x:c r="R34" s="38" t="n">
        <x:v>0</x:v>
      </x:c>
      <x:c r="S34" s="38" t="n">
        <x:v>0</x:v>
      </x:c>
      <x:c r="T34" s="38" t="n">
        <x:v>0</x:v>
      </x:c>
      <x:c r="U34" s="38" t="str">
        <x:v>成功</x:v>
      </x:c>
      <x:c r="V34" s="38"/>
      <x:c r="W34" s="38"/>
      <x:c r="X34" s="38"/>
      <x:c r="Y34" s="38"/>
      <x:c r="Z34" s="38" t="str">
        <x:v>AI工程完了・人最終確認待ち。AI事前比較：誤読0件、勝手な確定0件、順序評価は原本条件に準拠、禁止情報0件。難易度6/16点。</x:v>
      </x:c>
      <x:c r="AA34" s="38" t="str">
        <x:v>2026/10/08 15:20:55</x:v>
      </x:c>
      <x:c r="AB34" s="38" t="str">
        <x:v>2026/10/08 15:20:55</x:v>
      </x:c>
      <x:c r="AC34" s="38" t="str">
        <x:v>2026/10/08 15:21:22</x:v>
      </x:c>
      <x:c r="AD34" s="38" t="str">
        <x:v>0分27秒</x:v>
      </x:c>
      <x:c r="AE34" s="38" t="str">
        <x:v>2026/10/08 15:21:29</x:v>
      </x:c>
      <x:c r="AF34" s="38" t="str">
        <x:v>2026/10/08 15:21:25</x:v>
      </x:c>
      <x:c r="AG34" s="38" t="str">
        <x:v>2026/10/08 15:21:28</x:v>
      </x:c>
      <x:c r="AH34" s="38" t="str">
        <x:v>0分03秒</x:v>
      </x:c>
      <x:c r="AI34" s="38" t="n">
        <x:v>1</x:v>
      </x:c>
      <x:c r="AJ34" s="38" t="n">
        <x:v>0</x:v>
      </x:c>
      <x:c r="AK34" s="38" t="n">
        <x:v>3</x:v>
      </x:c>
      <x:c r="AL34" s="38" t="str">
        <x:v>一部反映</x:v>
      </x:c>
      <x:c r="AM34" s="38" t="str">
        <x:v>固定読込：A17件／B3件／C1件／D0件。配車指示書Excel・PDF生成済。所要時間：0分35秒。AI事前比較では0件。人最終確認待ち。 要確認／矛盾は確定入力せず。</x:v>
      </x:c>
      <x:c r="AN34" s="38" t="s">
        <x:v>260</x:v>
      </x:c>
      <x:c r="AO34" s="38" t="s">
        <x:v>177</x:v>
      </x:c>
      <x:c r="AP34" s="38" t="s">
        <x:v>261</x:v>
      </x:c>
      <x:c r="AQ34" s="38" t="s">
        <x:v>262</x:v>
      </x:c>
      <x:c r="AR34" s="38" t="s">
        <x:v>263</x:v>
      </x:c>
      <x:c r="AS34" s="38" t="s">
        <x:v>118</x:v>
      </x:c>
      <x:c r="AT34" s="38" t="s">
        <x:v>264</x:v>
      </x:c>
      <x:c r="AU34" s="38" t="s">
        <x:v>265</x:v>
      </x:c>
      <x:c r="AV34" s="38" t="s">
        <x:v>266</x:v>
      </x:c>
    </x:row>
    <x:row r="35" ht="17.649999618530273" customHeight="1">
      <x:c r="A35" s="38">
        <x:v>29</x:v>
      </x:c>
      <x:c r="B35" s="38" t="str">
        <x:v>2026/10/08</x:v>
      </x:c>
      <x:c r="C35" s="38" t="s">
        <x:v>267</x:v>
      </x:c>
      <x:c r="D35" s="38" t="str">
        <x:v>T09</x:v>
      </x:c>
      <x:c r="E35" s="38" t="str">
        <x:v>定型印字帳票＋運賃・支払情報</x:v>
      </x:c>
      <x:c r="F35" s="38" t="str">
        <x:v>埼玉県熊谷市</x:v>
      </x:c>
      <x:c r="G35" s="38" t="str">
        <x:v>宮城県黒川郡大和町</x:v>
      </x:c>
      <x:c r="H35" s="38" t="str">
        <x:v>低</x:v>
      </x:c>
      <x:c r="I35" s="38" t="str">
        <x:v>なし</x:v>
      </x:c>
      <x:c r="J35" s="38" t="n">
        <x:v>17</x:v>
      </x:c>
      <x:c r="K35" s="38" t="n">
        <x:v>0.51</x:v>
      </x:c>
      <x:c r="L35" s="38"/>
      <x:c r="M35" s="38"/>
      <x:c r="N35" s="38"/>
      <x:c r="O35" s="38" t="n">
        <x:v>21</x:v>
      </x:c>
      <x:c r="P35" s="38" t="n">
        <x:v>0</x:v>
      </x:c>
      <x:c r="Q35" s="38" t="n">
        <x:v>0</x:v>
      </x:c>
      <x:c r="R35" s="38" t="n">
        <x:v>0</x:v>
      </x:c>
      <x:c r="S35" s="38" t="n">
        <x:v>0</x:v>
      </x:c>
      <x:c r="T35" s="38" t="n">
        <x:v>0</x:v>
      </x:c>
      <x:c r="U35" s="38" t="str">
        <x:v>成功</x:v>
      </x:c>
      <x:c r="V35" s="38"/>
      <x:c r="W35" s="38"/>
      <x:c r="X35" s="38"/>
      <x:c r="Y35" s="38"/>
      <x:c r="Z35" s="38" t="str">
        <x:v>AI工程完了・人最終確認待ち。AI事前比較：誤読0件、勝手な確定0件、順序評価は原本条件に準拠、禁止情報0件。難易度5/16点。</x:v>
      </x:c>
      <x:c r="AA35" s="38" t="str">
        <x:v>2026/10/08 15:21:46</x:v>
      </x:c>
      <x:c r="AB35" s="38" t="str">
        <x:v>2026/10/08 15:21:46</x:v>
      </x:c>
      <x:c r="AC35" s="38" t="str">
        <x:v>2026/10/08 15:22:09</x:v>
      </x:c>
      <x:c r="AD35" s="38" t="str">
        <x:v>0分23秒</x:v>
      </x:c>
      <x:c r="AE35" s="38" t="str">
        <x:v>2026/10/08 15:22:16</x:v>
      </x:c>
      <x:c r="AF35" s="38" t="str">
        <x:v>2026/10/08 15:22:12</x:v>
      </x:c>
      <x:c r="AG35" s="38" t="str">
        <x:v>2026/10/08 15:22:15</x:v>
      </x:c>
      <x:c r="AH35" s="38" t="str">
        <x:v>0分03秒</x:v>
      </x:c>
      <x:c r="AI35" s="38" t="n">
        <x:v>0</x:v>
      </x:c>
      <x:c r="AJ35" s="38" t="n">
        <x:v>0</x:v>
      </x:c>
      <x:c r="AK35" s="38" t="n">
        <x:v>0</x:v>
      </x:c>
      <x:c r="AL35" s="38" t="str">
        <x:v>反映済</x:v>
      </x:c>
      <x:c r="AM35" s="38" t="str">
        <x:v>固定読込：A21件／B0件／C0件／D0件。配車指示書Excel・PDF生成済。所要時間：0分31秒。AI事前比較では0件。人最終確認待ち。</x:v>
      </x:c>
      <x:c r="AN35" s="38" t="s">
        <x:v>191</x:v>
      </x:c>
      <x:c r="AO35" s="38" t="s">
        <x:v>268</x:v>
      </x:c>
      <x:c r="AP35" s="38" t="s">
        <x:v>192</x:v>
      </x:c>
      <x:c r="AQ35" s="38" t="s">
        <x:v>193</x:v>
      </x:c>
      <x:c r="AR35" s="38" t="s">
        <x:v>269</x:v>
      </x:c>
      <x:c r="AS35" s="38" t="s">
        <x:v>195</x:v>
      </x:c>
      <x:c r="AT35" s="38" t="s">
        <x:v>196</x:v>
      </x:c>
      <x:c r="AU35" s="38" t="s">
        <x:v>197</x:v>
      </x:c>
      <x:c r="AV35" s="38" t="s">
        <x:v>270</x:v>
      </x:c>
    </x:row>
    <x:row r="36" ht="17.649999618530273" customHeight="1">
      <x:c r="A36" s="38">
        <x:v>30</x:v>
      </x:c>
      <x:c r="B36" s="38" t="str">
        <x:v>2026/10/08</x:v>
      </x:c>
      <x:c r="C36" s="38" t="s">
        <x:v>271</x:v>
      </x:c>
      <x:c r="D36" s="38" t="str">
        <x:v>T10</x:v>
      </x:c>
      <x:c r="E36" s="38" t="str">
        <x:v>今回案件＋前回実績併記帳票</x:v>
      </x:c>
      <x:c r="F36" s="38" t="str">
        <x:v>群馬県太田市</x:v>
      </x:c>
      <x:c r="G36" s="38" t="str">
        <x:v>長野県上田市</x:v>
      </x:c>
      <x:c r="H36" s="38" t="str">
        <x:v>中</x:v>
      </x:c>
      <x:c r="I36" s="38" t="str">
        <x:v>あり</x:v>
      </x:c>
      <x:c r="J36" s="38" t="n">
        <x:v>17</x:v>
      </x:c>
      <x:c r="K36" s="38" t="n">
        <x:v>0.89</x:v>
      </x:c>
      <x:c r="L36" s="38"/>
      <x:c r="M36" s="38"/>
      <x:c r="N36" s="38" t="str">
        <x:f>IF(AND(K36&lt;&gt;"",L36&lt;&gt;"",M36&lt;&gt;""),K36+L36+M36,"")</x:f>
      </x:c>
      <x:c r="O36" s="38" t="n">
        <x:v>20</x:v>
      </x:c>
      <x:c r="P36" s="38" t="n">
        <x:v>0</x:v>
      </x:c>
      <x:c r="Q36" s="38" t="n">
        <x:v>0</x:v>
      </x:c>
      <x:c r="R36" s="38" t="n">
        <x:v>0</x:v>
      </x:c>
      <x:c r="S36" s="38" t="n">
        <x:v>0</x:v>
      </x:c>
      <x:c r="T36" s="38" t="n">
        <x:v>0</x:v>
      </x:c>
      <x:c r="U36" s="38" t="str">
        <x:v>成功</x:v>
      </x:c>
      <x:c r="V36" s="38"/>
      <x:c r="W36" s="38"/>
      <x:c r="X36" s="38"/>
      <x:c r="Y36" s="38"/>
      <x:c r="Z36" s="38" t="str">
        <x:v>AI工程完了・人最終確認待ち。AI事前比較：誤読0件、勝手な確定0件、順序評価は原本条件に準拠、禁止情報0件。難易度9/16点。</x:v>
      </x:c>
      <x:c r="AA36" s="38" t="str">
        <x:v>2026/10/08 15:22:30</x:v>
      </x:c>
      <x:c r="AB36" s="38" t="str">
        <x:v>2026/10/08 15:22:30</x:v>
      </x:c>
      <x:c r="AC36" s="38" t="str">
        <x:v>2026/10/08 15:22:53</x:v>
      </x:c>
      <x:c r="AD36" s="38" t="str">
        <x:v>0分23秒</x:v>
      </x:c>
      <x:c r="AE36" s="38" t="str">
        <x:v>2026/10/08 15:23:23</x:v>
      </x:c>
      <x:c r="AF36" s="38" t="str">
        <x:v>2026/10/08 15:22:56</x:v>
      </x:c>
      <x:c r="AG36" s="38" t="str">
        <x:v>2026/10/08 15:23:22</x:v>
      </x:c>
      <x:c r="AH36" s="38" t="str">
        <x:v>0分26秒</x:v>
      </x:c>
      <x:c r="AI36" s="38" t="n">
        <x:v>1</x:v>
      </x:c>
      <x:c r="AJ36" s="38" t="n">
        <x:v>0</x:v>
      </x:c>
      <x:c r="AK36" s="38" t="n">
        <x:v>0</x:v>
      </x:c>
      <x:c r="AL36" s="38" t="str">
        <x:v>反映済</x:v>
      </x:c>
      <x:c r="AM36" s="38" t="str">
        <x:v>固定読込：A20件／B0件／C1件／D0件。配車指示書Excel・PDF生成済。所要時間：0分53秒。AI事前比較では0件。人最終確認待ち。</x:v>
      </x:c>
      <x:c r="AN36" s="38" t="s">
        <x:v>272</x:v>
      </x:c>
      <x:c r="AO36" s="38" t="s">
        <x:v>273</x:v>
      </x:c>
      <x:c r="AP36" s="38" t="s">
        <x:v>274</x:v>
      </x:c>
      <x:c r="AQ36" s="38" t="s">
        <x:v>275</x:v>
      </x:c>
      <x:c r="AR36" s="38" t="s">
        <x:v>276</x:v>
      </x:c>
      <x:c r="AS36" s="38" t="s">
        <x:v>118</x:v>
      </x:c>
      <x:c r="AT36" s="38" t="s">
        <x:v>277</x:v>
      </x:c>
      <x:c r="AU36" s="38" t="s">
        <x:v>278</x:v>
      </x:c>
      <x:c r="AV36" s="38" t="s">
        <x:v>279</x:v>
      </x:c>
    </x:row>
    <x:row r="37" ht="54">
      <x:c r="A37" s="38">
        <x:v>31</x:v>
      </x:c>
      <x:c r="B37" s="38" t="str">
        <x:v>2026/10/08</x:v>
      </x:c>
      <x:c r="C37" s="38" t="s">
        <x:v>280</x:v>
      </x:c>
      <x:c r="D37" s="38" t="str">
        <x:v>T06</x:v>
      </x:c>
      <x:c r="E37" s="38" t="str">
        <x:v>全手書きメモ</x:v>
      </x:c>
      <x:c r="F37" s="38" t="str">
        <x:v>群馬県太田市</x:v>
      </x:c>
      <x:c r="G37" s="38" t="str">
        <x:v>埼玉県加須市</x:v>
      </x:c>
      <x:c r="H37" s="38" t="str">
        <x:v>中</x:v>
      </x:c>
      <x:c r="I37" s="38" t="str">
        <x:v>なし</x:v>
      </x:c>
      <x:c r="J37" s="38" t="n">
        <x:v>11</x:v>
      </x:c>
      <x:c r="K37" s="38" t="n">
        <x:v>0.13</x:v>
      </x:c>
      <x:c r="L37" s="38"/>
      <x:c r="M37" s="38"/>
      <x:c r="N37" s="38"/>
      <x:c r="O37" s="38" t="n">
        <x:v>12</x:v>
      </x:c>
      <x:c r="P37" s="38" t="n">
        <x:v>0</x:v>
      </x:c>
      <x:c r="Q37" s="38" t="n">
        <x:v>0</x:v>
      </x:c>
      <x:c r="R37" s="38" t="n">
        <x:v>0</x:v>
      </x:c>
      <x:c r="S37" s="38" t="n">
        <x:v>0</x:v>
      </x:c>
      <x:c r="T37" s="38" t="n">
        <x:v>0</x:v>
      </x:c>
      <x:c r="U37" s="38" t="str">
        <x:v>成功</x:v>
      </x:c>
      <x:c r="V37" s="38"/>
      <x:c r="W37" s="38"/>
      <x:c r="X37" s="38"/>
      <x:c r="Y37" s="38"/>
      <x:c r="Z37" s="38" t="str">
        <x:v>AI工程完了・人最終確認待ち。AI事前比較：誤読0件、勝手な確定0件、順序評価は原本条件に準拠、禁止情報0件。難易度6/16点。</x:v>
      </x:c>
      <x:c r="AA37" s="38" t="str">
        <x:v>2026/10/08 15:36:19</x:v>
      </x:c>
      <x:c r="AB37" s="38" t="str">
        <x:v>2026/10/08 15:36:19</x:v>
      </x:c>
      <x:c r="AC37" s="38" t="str">
        <x:v>2026/10/08 15:36:19</x:v>
      </x:c>
      <x:c r="AD37" s="38" t="str">
        <x:v>0分00秒</x:v>
      </x:c>
      <x:c r="AE37" s="38" t="str">
        <x:v>2026/10/08 15:36:26</x:v>
      </x:c>
      <x:c r="AF37" s="38" t="str">
        <x:v>2026/10/08 15:36:23</x:v>
      </x:c>
      <x:c r="AG37" s="38" t="str">
        <x:v>2026/10/08 15:36:25</x:v>
      </x:c>
      <x:c r="AH37" s="38" t="str">
        <x:v>0分02秒</x:v>
      </x:c>
      <x:c r="AI37" s="38" t="n">
        <x:v>9</x:v>
      </x:c>
      <x:c r="AJ37" s="38" t="n">
        <x:v>0</x:v>
      </x:c>
      <x:c r="AK37" s="38" t="n">
        <x:v>0</x:v>
      </x:c>
      <x:c r="AL37" s="38" t="str">
        <x:v>反映済</x:v>
      </x:c>
      <x:c r="AM37" s="38" t="str">
        <x:v>固定読込：A12件／B0件／C9件／D0件。配車指示書Excel・PDF生成済。所要時間：0分08秒。AI事前比較では0件。人最終確認待ち。</x:v>
      </x:c>
      <x:c r="AN37" s="38" t="s">
        <x:v>168</x:v>
      </x:c>
      <x:c r="AO37" s="38" t="s">
        <x:v>281</x:v>
      </x:c>
      <x:c r="AP37" s="38" t="s">
        <x:v>170</x:v>
      </x:c>
      <x:c r="AQ37" s="38" t="s">
        <x:v>171</x:v>
      </x:c>
      <x:c r="AR37" s="38" t="s">
        <x:v>282</x:v>
      </x:c>
      <x:c r="AS37" s="38" t="s">
        <x:v>118</x:v>
      </x:c>
      <x:c r="AT37" s="38" t="s">
        <x:v>173</x:v>
      </x:c>
      <x:c r="AU37" s="38" t="s">
        <x:v>174</x:v>
      </x:c>
      <x:c r="AV37" s="38" t="s">
        <x:v>283</x:v>
      </x:c>
    </x:row>
    <x:row r="38" ht="17.649999618530273" customHeight="1">
      <x:c r="A38" s="38">
        <x:v>32</x:v>
      </x:c>
      <x:c r="B38" s="38" t="str">
        <x:v>2026/10/08</x:v>
      </x:c>
      <x:c r="C38" s="38" t="s">
        <x:v>284</x:v>
      </x:c>
      <x:c r="D38" s="38" t="str">
        <x:v>T01</x:v>
      </x:c>
      <x:c r="E38" s="38" t="str">
        <x:v>FAX送信票（鮮明）</x:v>
      </x:c>
      <x:c r="F38" s="38" t="str">
        <x:v>東京都江東区</x:v>
      </x:c>
      <x:c r="G38" s="38" t="str">
        <x:v>千葉県市原市</x:v>
      </x:c>
      <x:c r="H38" s="38" t="str">
        <x:v>低</x:v>
      </x:c>
      <x:c r="I38" s="38" t="str">
        <x:v>なし</x:v>
      </x:c>
      <x:c r="J38" s="38" t="n">
        <x:v>11</x:v>
      </x:c>
      <x:c r="K38" s="38" t="n">
        <x:v>0.12</x:v>
      </x:c>
      <x:c r="L38" s="38"/>
      <x:c r="M38" s="38"/>
      <x:c r="N38" s="38"/>
      <x:c r="O38" s="38" t="n">
        <x:v>14</x:v>
      </x:c>
      <x:c r="P38" s="38" t="n">
        <x:v>0</x:v>
      </x:c>
      <x:c r="Q38" s="38" t="n">
        <x:v>0</x:v>
      </x:c>
      <x:c r="R38" s="38" t="n">
        <x:v>0</x:v>
      </x:c>
      <x:c r="S38" s="38" t="n">
        <x:v>0</x:v>
      </x:c>
      <x:c r="T38" s="38" t="n">
        <x:v>0</x:v>
      </x:c>
      <x:c r="U38" s="38" t="str">
        <x:v>成功</x:v>
      </x:c>
      <x:c r="V38" s="38"/>
      <x:c r="W38" s="38"/>
      <x:c r="X38" s="38"/>
      <x:c r="Y38" s="38"/>
      <x:c r="Z38" s="38" t="str">
        <x:v>AI工程完了・人最終確認待ち。AI事前比較：誤読0件、勝手な確定0件、順序評価は原本条件に準拠、禁止情報0件。難易度3/16点。</x:v>
      </x:c>
      <x:c r="AA38" s="38" t="str">
        <x:v>2026/10/08 15:36:28</x:v>
      </x:c>
      <x:c r="AB38" s="38" t="str">
        <x:v>2026/10/08 15:36:28</x:v>
      </x:c>
      <x:c r="AC38" s="38" t="str">
        <x:v>2026/10/08 15:36:28</x:v>
      </x:c>
      <x:c r="AD38" s="38" t="str">
        <x:v>0分00秒</x:v>
      </x:c>
      <x:c r="AE38" s="38" t="str">
        <x:v>2026/10/08 15:36:35</x:v>
      </x:c>
      <x:c r="AF38" s="38" t="str">
        <x:v>2026/10/08 15:36:31</x:v>
      </x:c>
      <x:c r="AG38" s="38" t="str">
        <x:v>2026/10/08 15:36:34</x:v>
      </x:c>
      <x:c r="AH38" s="38" t="str">
        <x:v>0分03秒</x:v>
      </x:c>
      <x:c r="AI38" s="38" t="n">
        <x:v>7</x:v>
      </x:c>
      <x:c r="AJ38" s="38" t="n">
        <x:v>0</x:v>
      </x:c>
      <x:c r="AK38" s="38" t="n">
        <x:v>0</x:v>
      </x:c>
      <x:c r="AL38" s="38" t="str">
        <x:v>反映済</x:v>
      </x:c>
      <x:c r="AM38" s="38" t="str">
        <x:v>固定読込：A14件／B0件／C7件／D0件。配車指示書Excel・PDF生成済。所要時間：0分07秒。AI事前比較では0件。人最終確認待ち。</x:v>
      </x:c>
      <x:c r="AN38" s="38" t="s">
        <x:v>113</x:v>
      </x:c>
      <x:c r="AO38" s="38" t="s">
        <x:v>285</x:v>
      </x:c>
      <x:c r="AP38" s="38" t="s">
        <x:v>115</x:v>
      </x:c>
      <x:c r="AQ38" s="38" t="s">
        <x:v>116</x:v>
      </x:c>
      <x:c r="AR38" s="38" t="s">
        <x:v>286</x:v>
      </x:c>
      <x:c r="AS38" s="38" t="s">
        <x:v>118</x:v>
      </x:c>
      <x:c r="AT38" s="38" t="s">
        <x:v>119</x:v>
      </x:c>
      <x:c r="AU38" s="38" t="s">
        <x:v>120</x:v>
      </x:c>
      <x:c r="AV38" s="38" t="s">
        <x:v>287</x:v>
      </x:c>
    </x:row>
    <x:row r="39" ht="17.649999618530273" customHeight="1">
      <x:c r="A39" s="38">
        <x:v>33</x:v>
      </x:c>
      <x:c r="B39" s="38" t="str">
        <x:v>2026/10/08</x:v>
      </x:c>
      <x:c r="C39" s="38" t="s">
        <x:v>288</x:v>
      </x:c>
      <x:c r="D39" s="38" t="str">
        <x:v>T06</x:v>
      </x:c>
      <x:c r="E39" s="38" t="str">
        <x:v>全手書きメモ</x:v>
      </x:c>
      <x:c r="F39" s="38" t="str">
        <x:v>千葉県千葉市中央区</x:v>
      </x:c>
      <x:c r="G39" s="38" t="str">
        <x:v>大阪府大阪市此花区</x:v>
      </x:c>
      <x:c r="H39" s="38" t="str">
        <x:v>低</x:v>
      </x:c>
      <x:c r="I39" s="38" t="str">
        <x:v>なし</x:v>
      </x:c>
      <x:c r="J39" s="38" t="n">
        <x:v>12</x:v>
      </x:c>
      <x:c r="K39" s="38" t="n">
        <x:v>0.69</x:v>
      </x:c>
      <x:c r="L39" s="38"/>
      <x:c r="M39" s="38"/>
      <x:c r="N39" s="38"/>
      <x:c r="O39" s="38" t="n">
        <x:v>13</x:v>
      </x:c>
      <x:c r="P39" s="38" t="n">
        <x:v>1</x:v>
      </x:c>
      <x:c r="Q39" s="38" t="n">
        <x:v>0</x:v>
      </x:c>
      <x:c r="R39" s="38" t="n">
        <x:v>0</x:v>
      </x:c>
      <x:c r="S39" s="38" t="n">
        <x:v>0</x:v>
      </x:c>
      <x:c r="T39" s="38" t="n">
        <x:v>0</x:v>
      </x:c>
      <x:c r="U39" s="38" t="str">
        <x:v>成功</x:v>
      </x:c>
      <x:c r="V39" s="38"/>
      <x:c r="W39" s="38"/>
      <x:c r="X39" s="38"/>
      <x:c r="Y39" s="38"/>
      <x:c r="Z39" s="38" t="str">
        <x:v>AI工程完了・人最終確認待ち。AI事前比較：誤読0件、勝手な確定0件、順序評価は原本条件に準拠、禁止情報0件。難易度5/16点。</x:v>
      </x:c>
      <x:c r="AA39" s="38" t="str">
        <x:v>2026/10/08 15:36:37</x:v>
      </x:c>
      <x:c r="AB39" s="38" t="str">
        <x:v>2026/10/08 15:36:37</x:v>
      </x:c>
      <x:c r="AC39" s="38" t="str">
        <x:v>2026/10/08 15:36:37</x:v>
      </x:c>
      <x:c r="AD39" s="38" t="str">
        <x:v>0分00秒</x:v>
      </x:c>
      <x:c r="AE39" s="38" t="str">
        <x:v>2026/10/08 15:37:18</x:v>
      </x:c>
      <x:c r="AF39" s="38" t="str">
        <x:v>2026/10/08 15:36:41</x:v>
      </x:c>
      <x:c r="AG39" s="38" t="str">
        <x:v>2026/10/08 15:37:17</x:v>
      </x:c>
      <x:c r="AH39" s="38" t="str">
        <x:v>0分36秒</x:v>
      </x:c>
      <x:c r="AI39" s="38" t="n">
        <x:v>7</x:v>
      </x:c>
      <x:c r="AJ39" s="38" t="n">
        <x:v>0</x:v>
      </x:c>
      <x:c r="AK39" s="38" t="n">
        <x:v>1</x:v>
      </x:c>
      <x:c r="AL39" s="38" t="str">
        <x:v>一部反映</x:v>
      </x:c>
      <x:c r="AM39" s="38" t="str">
        <x:v>固定読込：A13件／B1件／C7件／D0件。配車指示書Excel・PDF生成済。所要時間：0分41秒。AI事前比較では0件。人最終確認待ち。 要確認／矛盾は確定入力せず。</x:v>
      </x:c>
      <x:c r="AN39" s="38" t="s">
        <x:v>168</x:v>
      </x:c>
      <x:c r="AO39" s="38" t="s">
        <x:v>281</x:v>
      </x:c>
      <x:c r="AP39" s="38" t="s">
        <x:v>170</x:v>
      </x:c>
      <x:c r="AQ39" s="38" t="s">
        <x:v>171</x:v>
      </x:c>
      <x:c r="AR39" s="38" t="s">
        <x:v>289</x:v>
      </x:c>
      <x:c r="AS39" s="38" t="s">
        <x:v>118</x:v>
      </x:c>
      <x:c r="AT39" s="38" t="s">
        <x:v>173</x:v>
      </x:c>
      <x:c r="AU39" s="38" t="s">
        <x:v>174</x:v>
      </x:c>
      <x:c r="AV39" s="38" t="s">
        <x:v>290</x:v>
      </x:c>
    </x:row>
    <x:row r="40" ht="17.649999618530273" customHeight="1">
      <x:c r="A40" s="38">
        <x:v>34</x:v>
      </x:c>
      <x:c r="B40" s="38" t="str">
        <x:v>2026/10/08</x:v>
      </x:c>
      <x:c r="C40" s="38" t="s">
        <x:v>291</x:v>
      </x:c>
      <x:c r="D40" s="38" t="str">
        <x:v>T04</x:v>
      </x:c>
      <x:c r="E40" s="38" t="str">
        <x:v>メール印刷</x:v>
      </x:c>
      <x:c r="F40" s="38" t="str">
        <x:v>愛知県豊田市</x:v>
      </x:c>
      <x:c r="G40" s="38" t="str">
        <x:v>三重県鈴鹿市</x:v>
      </x:c>
      <x:c r="H40" s="38" t="str">
        <x:v>低</x:v>
      </x:c>
      <x:c r="I40" s="38" t="str">
        <x:v>なし</x:v>
      </x:c>
      <x:c r="J40" s="38" t="n">
        <x:v>11</x:v>
      </x:c>
      <x:c r="K40" s="38" t="n">
        <x:v>0.11</x:v>
      </x:c>
      <x:c r="L40" s="38"/>
      <x:c r="M40" s="38"/>
      <x:c r="N40" s="38"/>
      <x:c r="O40" s="38" t="n">
        <x:v>12</x:v>
      </x:c>
      <x:c r="P40" s="38" t="n">
        <x:v>0</x:v>
      </x:c>
      <x:c r="Q40" s="38" t="n">
        <x:v>0</x:v>
      </x:c>
      <x:c r="R40" s="38" t="n">
        <x:v>0</x:v>
      </x:c>
      <x:c r="S40" s="38" t="n">
        <x:v>0</x:v>
      </x:c>
      <x:c r="T40" s="38" t="n">
        <x:v>0</x:v>
      </x:c>
      <x:c r="U40" s="38" t="str">
        <x:v>成功</x:v>
      </x:c>
      <x:c r="V40" s="38"/>
      <x:c r="W40" s="38"/>
      <x:c r="X40" s="38"/>
      <x:c r="Y40" s="38"/>
      <x:c r="Z40" s="38" t="str">
        <x:v>AI工程完了・人最終確認待ち。AI事前比較：誤読0件、勝手な確定0件、順序評価は原本条件に準拠、禁止情報0件。難易度1/16点。</x:v>
      </x:c>
      <x:c r="AA40" s="38" t="str">
        <x:v>2026/10/08 15:37:41</x:v>
      </x:c>
      <x:c r="AB40" s="38" t="str">
        <x:v>2026/10/08 15:37:41</x:v>
      </x:c>
      <x:c r="AC40" s="38" t="str">
        <x:v>2026/10/08 15:37:41</x:v>
      </x:c>
      <x:c r="AD40" s="38" t="str">
        <x:v>0分00秒</x:v>
      </x:c>
      <x:c r="AE40" s="38" t="str">
        <x:v>2026/10/08 15:37:47</x:v>
      </x:c>
      <x:c r="AF40" s="38" t="str">
        <x:v>2026/10/08 15:37:44</x:v>
      </x:c>
      <x:c r="AG40" s="38" t="str">
        <x:v>2026/10/08 15:37:46</x:v>
      </x:c>
      <x:c r="AH40" s="38" t="str">
        <x:v>0分02秒</x:v>
      </x:c>
      <x:c r="AI40" s="38" t="n">
        <x:v>9</x:v>
      </x:c>
      <x:c r="AJ40" s="38" t="n">
        <x:v>0</x:v>
      </x:c>
      <x:c r="AK40" s="38" t="n">
        <x:v>0</x:v>
      </x:c>
      <x:c r="AL40" s="38" t="str">
        <x:v>反映済</x:v>
      </x:c>
      <x:c r="AM40" s="38" t="str">
        <x:v>固定読込：A12件／B0件／C9件／D0件。配車指示書Excel・PDF生成済。所要時間：0分07秒。AI事前比較では0件。人最終確認待ち。</x:v>
      </x:c>
      <x:c r="AN40" s="38" t="s">
        <x:v>200</x:v>
      </x:c>
      <x:c r="AO40" s="38" t="s">
        <x:v>142</x:v>
      </x:c>
      <x:c r="AP40" s="38" t="s">
        <x:v>201</x:v>
      </x:c>
      <x:c r="AQ40" s="38" t="s">
        <x:v>202</x:v>
      </x:c>
      <x:c r="AR40" s="38" t="s">
        <x:v>292</x:v>
      </x:c>
      <x:c r="AS40" s="38" t="s">
        <x:v>118</x:v>
      </x:c>
      <x:c r="AT40" s="38" t="s">
        <x:v>204</x:v>
      </x:c>
      <x:c r="AU40" s="38" t="s">
        <x:v>205</x:v>
      </x:c>
      <x:c r="AV40" s="38" t="s">
        <x:v>293</x:v>
      </x:c>
    </x:row>
    <x:row r="41" ht="17.649999618530273" customHeight="1">
      <x:c r="A41" s="38">
        <x:v>35</x:v>
      </x:c>
      <x:c r="B41" s="38" t="str">
        <x:v>2026/10/08</x:v>
      </x:c>
      <x:c r="C41" s="38" t="s">
        <x:v>294</x:v>
      </x:c>
      <x:c r="D41" s="38" t="str">
        <x:v>T03</x:v>
      </x:c>
      <x:c r="E41" s="38" t="str">
        <x:v>手書きメモ＋付箋</x:v>
      </x:c>
      <x:c r="F41" s="38" t="str">
        <x:v>神奈川県川崎市川崎区</x:v>
      </x:c>
      <x:c r="G41" s="38" t="str">
        <x:v>静岡県富士市</x:v>
      </x:c>
      <x:c r="H41" s="38" t="str">
        <x:v>中</x:v>
      </x:c>
      <x:c r="I41" s="38" t="str">
        <x:v>なし</x:v>
      </x:c>
      <x:c r="J41" s="38" t="n">
        <x:v>11</x:v>
      </x:c>
      <x:c r="K41" s="38" t="n">
        <x:v>0.12</x:v>
      </x:c>
      <x:c r="L41" s="38"/>
      <x:c r="M41" s="38"/>
      <x:c r="N41" s="38"/>
      <x:c r="O41" s="38" t="n">
        <x:v>12</x:v>
      </x:c>
      <x:c r="P41" s="38" t="n">
        <x:v>2</x:v>
      </x:c>
      <x:c r="Q41" s="38" t="n">
        <x:v>0</x:v>
      </x:c>
      <x:c r="R41" s="38" t="n">
        <x:v>0</x:v>
      </x:c>
      <x:c r="S41" s="38" t="n">
        <x:v>0</x:v>
      </x:c>
      <x:c r="T41" s="38" t="n">
        <x:v>0</x:v>
      </x:c>
      <x:c r="U41" s="38" t="str">
        <x:v>成功</x:v>
      </x:c>
      <x:c r="V41" s="38"/>
      <x:c r="W41" s="38"/>
      <x:c r="X41" s="38"/>
      <x:c r="Y41" s="38"/>
      <x:c r="Z41" s="38" t="str">
        <x:v>AI工程完了・人最終確認待ち。AI事前比較：誤読0件、勝手な確定0件、順序評価は原本条件に準拠、禁止情報0件。難易度6/16点。</x:v>
      </x:c>
      <x:c r="AA41" s="38" t="str">
        <x:v>2026/10/08 15:37:49</x:v>
      </x:c>
      <x:c r="AB41" s="38" t="str">
        <x:v>2026/10/08 15:37:49</x:v>
      </x:c>
      <x:c r="AC41" s="38" t="str">
        <x:v>2026/10/08 15:37:49</x:v>
      </x:c>
      <x:c r="AD41" s="38" t="str">
        <x:v>0分00秒</x:v>
      </x:c>
      <x:c r="AE41" s="38" t="str">
        <x:v>2026/10/08 15:37:56</x:v>
      </x:c>
      <x:c r="AF41" s="38" t="str">
        <x:v>2026/10/08 15:37:52</x:v>
      </x:c>
      <x:c r="AG41" s="38" t="str">
        <x:v>2026/10/08 15:37:55</x:v>
      </x:c>
      <x:c r="AH41" s="38" t="str">
        <x:v>0分03秒</x:v>
      </x:c>
      <x:c r="AI41" s="38" t="n">
        <x:v>7</x:v>
      </x:c>
      <x:c r="AJ41" s="38" t="n">
        <x:v>0</x:v>
      </x:c>
      <x:c r="AK41" s="38" t="n">
        <x:v>2</x:v>
      </x:c>
      <x:c r="AL41" s="38" t="str">
        <x:v>一部反映</x:v>
      </x:c>
      <x:c r="AM41" s="38" t="str">
        <x:v>固定読込：A12件／B2件／C7件／D0件。配車指示書Excel・PDF生成済。所要時間：0分07秒。AI事前比較では0件。人最終確認待ち。 要確認／矛盾は確定入力せず。</x:v>
      </x:c>
      <x:c r="AN41" s="38" t="s">
        <x:v>132</x:v>
      </x:c>
      <x:c r="AO41" s="38" t="s">
        <x:v>281</x:v>
      </x:c>
      <x:c r="AP41" s="38" t="s">
        <x:v>134</x:v>
      </x:c>
      <x:c r="AQ41" s="38" t="s">
        <x:v>135</x:v>
      </x:c>
      <x:c r="AR41" s="38" t="s">
        <x:v>295</x:v>
      </x:c>
      <x:c r="AS41" s="38" t="s">
        <x:v>118</x:v>
      </x:c>
      <x:c r="AT41" s="38" t="s">
        <x:v>137</x:v>
      </x:c>
      <x:c r="AU41" s="38" t="s">
        <x:v>138</x:v>
      </x:c>
      <x:c r="AV41" s="38" t="s">
        <x:v>296</x:v>
      </x:c>
    </x:row>
    <x:row r="42" ht="17.649999618530273" customHeight="1">
      <x:c r="A42" s="38">
        <x:v>36</x:v>
      </x:c>
      <x:c r="B42" s="38" t="str">
        <x:v>2026/10/08</x:v>
      </x:c>
      <x:c r="C42" s="38" t="s">
        <x:v>297</x:v>
      </x:c>
      <x:c r="D42" s="38" t="str">
        <x:v>T01</x:v>
      </x:c>
      <x:c r="E42" s="38" t="str">
        <x:v>小型定型印字帳票</x:v>
      </x:c>
      <x:c r="F42" s="38" t="str">
        <x:v>栃木県宇都宮市</x:v>
      </x:c>
      <x:c r="G42" s="38" t="str">
        <x:v>群馬県伊勢崎市</x:v>
      </x:c>
      <x:c r="H42" s="38" t="str">
        <x:v>低</x:v>
      </x:c>
      <x:c r="I42" s="38" t="str">
        <x:v>なし</x:v>
      </x:c>
      <x:c r="J42" s="38" t="n">
        <x:v>11</x:v>
      </x:c>
      <x:c r="K42" s="38" t="n">
        <x:v>0.12</x:v>
      </x:c>
      <x:c r="L42" s="38"/>
      <x:c r="M42" s="38"/>
      <x:c r="N42" s="38"/>
      <x:c r="O42" s="38" t="n">
        <x:v>13</x:v>
      </x:c>
      <x:c r="P42" s="38" t="n">
        <x:v>1</x:v>
      </x:c>
      <x:c r="Q42" s="38" t="n">
        <x:v>0</x:v>
      </x:c>
      <x:c r="R42" s="38" t="n">
        <x:v>0</x:v>
      </x:c>
      <x:c r="S42" s="38" t="n">
        <x:v>0</x:v>
      </x:c>
      <x:c r="T42" s="38" t="n">
        <x:v>0</x:v>
      </x:c>
      <x:c r="U42" s="38" t="str">
        <x:v>成功</x:v>
      </x:c>
      <x:c r="V42" s="38"/>
      <x:c r="W42" s="38"/>
      <x:c r="X42" s="38"/>
      <x:c r="Y42" s="38"/>
      <x:c r="Z42" s="38" t="str">
        <x:v>AI工程完了・人最終確認待ち。AI事前比較：誤読0件、勝手な確定0件、順序評価は原本条件に準拠、禁止情報0件。難易度4/16点。</x:v>
      </x:c>
      <x:c r="AA42" s="38" t="str">
        <x:v>2026/10/08 15:37:58</x:v>
      </x:c>
      <x:c r="AB42" s="38" t="str">
        <x:v>2026/10/08 15:37:58</x:v>
      </x:c>
      <x:c r="AC42" s="38" t="str">
        <x:v>2026/10/08 15:37:58</x:v>
      </x:c>
      <x:c r="AD42" s="38" t="str">
        <x:v>0分00秒</x:v>
      </x:c>
      <x:c r="AE42" s="38" t="str">
        <x:v>2026/10/08 15:38:04</x:v>
      </x:c>
      <x:c r="AF42" s="38" t="str">
        <x:v>2026/10/08 15:38:01</x:v>
      </x:c>
      <x:c r="AG42" s="38" t="str">
        <x:v>2026/10/08 15:38:03</x:v>
      </x:c>
      <x:c r="AH42" s="38" t="str">
        <x:v>0分02秒</x:v>
      </x:c>
      <x:c r="AI42" s="38" t="n">
        <x:v>7</x:v>
      </x:c>
      <x:c r="AJ42" s="38" t="n">
        <x:v>0</x:v>
      </x:c>
      <x:c r="AK42" s="38" t="n">
        <x:v>1</x:v>
      </x:c>
      <x:c r="AL42" s="38" t="str">
        <x:v>一部反映</x:v>
      </x:c>
      <x:c r="AM42" s="38" t="str">
        <x:v>固定読込：A13件／B1件／C7件／D0件。配車指示書Excel・PDF生成済。所要時間：0分07秒。AI事前比較では0件。人最終確認待ち。 要確認／矛盾は確定入力せず。</x:v>
      </x:c>
      <x:c r="AN42" s="38" t="s">
        <x:v>113</x:v>
      </x:c>
      <x:c r="AO42" s="38" t="s">
        <x:v>298</x:v>
      </x:c>
      <x:c r="AP42" s="38" t="s">
        <x:v>115</x:v>
      </x:c>
      <x:c r="AQ42" s="38" t="s">
        <x:v>116</x:v>
      </x:c>
      <x:c r="AR42" s="38" t="s">
        <x:v>299</x:v>
      </x:c>
      <x:c r="AS42" s="38" t="s">
        <x:v>118</x:v>
      </x:c>
      <x:c r="AT42" s="38" t="s">
        <x:v>119</x:v>
      </x:c>
      <x:c r="AU42" s="38" t="s">
        <x:v>120</x:v>
      </x:c>
      <x:c r="AV42" s="38" t="s">
        <x:v>300</x:v>
      </x:c>
    </x:row>
    <x:row r="43" ht="17.649999618530273" customHeight="1">
      <x:c r="A43" s="38">
        <x:v>37</x:v>
      </x:c>
      <x:c r="B43" s="38" t="str">
        <x:v>2026/10/08</x:v>
      </x:c>
      <x:c r="C43" s="38" t="s">
        <x:v>301</x:v>
      </x:c>
      <x:c r="D43" s="38" t="str">
        <x:v>T02</x:v>
      </x:c>
      <x:c r="E43" s="38" t="str">
        <x:v>劣化FAX</x:v>
      </x:c>
      <x:c r="F43" s="38" t="str">
        <x:v>福岡県北九州市門司区</x:v>
      </x:c>
      <x:c r="G43" s="38" t="str">
        <x:v>山口県下関市</x:v>
      </x:c>
      <x:c r="H43" s="38" t="str">
        <x:v>中</x:v>
      </x:c>
      <x:c r="I43" s="38" t="str">
        <x:v>なし</x:v>
      </x:c>
      <x:c r="J43" s="38" t="n">
        <x:v>12</x:v>
      </x:c>
      <x:c r="K43" s="38" t="n">
        <x:v>0.67</x:v>
      </x:c>
      <x:c r="L43" s="38"/>
      <x:c r="M43" s="38"/>
      <x:c r="N43" s="38"/>
      <x:c r="O43" s="38" t="n">
        <x:v>13</x:v>
      </x:c>
      <x:c r="P43" s="38" t="n">
        <x:v>0</x:v>
      </x:c>
      <x:c r="Q43" s="38" t="n">
        <x:v>0</x:v>
      </x:c>
      <x:c r="R43" s="38" t="n">
        <x:v>0</x:v>
      </x:c>
      <x:c r="S43" s="38" t="n">
        <x:v>0</x:v>
      </x:c>
      <x:c r="T43" s="38" t="n">
        <x:v>0</x:v>
      </x:c>
      <x:c r="U43" s="38" t="str">
        <x:v>成功</x:v>
      </x:c>
      <x:c r="V43" s="38"/>
      <x:c r="W43" s="38"/>
      <x:c r="X43" s="38"/>
      <x:c r="Y43" s="38"/>
      <x:c r="Z43" s="38" t="str">
        <x:v>AI工程完了・人最終確認待ち。AI事前比較：誤読0件、勝手な確定0件、順序評価は原本条件に準拠、禁止情報0件。難易度6/16点。</x:v>
      </x:c>
      <x:c r="AA43" s="38" t="str">
        <x:v>2026/10/08 15:38:06</x:v>
      </x:c>
      <x:c r="AB43" s="38" t="str">
        <x:v>2026/10/08 15:38:06</x:v>
      </x:c>
      <x:c r="AC43" s="38" t="str">
        <x:v>2026/10/08 15:38:06</x:v>
      </x:c>
      <x:c r="AD43" s="38" t="str">
        <x:v>0分00秒</x:v>
      </x:c>
      <x:c r="AE43" s="38" t="str">
        <x:v>2026/10/08 15:38:45</x:v>
      </x:c>
      <x:c r="AF43" s="38" t="str">
        <x:v>2026/10/08 15:38:10</x:v>
      </x:c>
      <x:c r="AG43" s="38" t="str">
        <x:v>2026/10/08 15:38:44</x:v>
      </x:c>
      <x:c r="AH43" s="38" t="str">
        <x:v>0分34秒</x:v>
      </x:c>
      <x:c r="AI43" s="38" t="n">
        <x:v>8</x:v>
      </x:c>
      <x:c r="AJ43" s="38" t="n">
        <x:v>0</x:v>
      </x:c>
      <x:c r="AK43" s="38" t="n">
        <x:v>0</x:v>
      </x:c>
      <x:c r="AL43" s="38" t="str">
        <x:v>反映済</x:v>
      </x:c>
      <x:c r="AM43" s="38" t="str">
        <x:v>固定読込：A13件／B0件／C8件／D0件。配車指示書Excel・PDF生成済。所要時間：0分40秒。AI事前比較では0件。人最終確認待ち。</x:v>
      </x:c>
      <x:c r="AN43" s="38" t="s">
        <x:v>123</x:v>
      </x:c>
      <x:c r="AO43" s="38" t="s">
        <x:v>302</x:v>
      </x:c>
      <x:c r="AP43" s="38" t="s">
        <x:v>125</x:v>
      </x:c>
      <x:c r="AQ43" s="38" t="s">
        <x:v>126</x:v>
      </x:c>
      <x:c r="AR43" s="38" t="s">
        <x:v>303</x:v>
      </x:c>
      <x:c r="AS43" s="38" t="s">
        <x:v>118</x:v>
      </x:c>
      <x:c r="AT43" s="38" t="s">
        <x:v>128</x:v>
      </x:c>
      <x:c r="AU43" s="38" t="s">
        <x:v>129</x:v>
      </x:c>
      <x:c r="AV43" s="38" t="s">
        <x:v>304</x:v>
      </x:c>
    </x:row>
    <x:row r="44" ht="17.649999618530273" customHeight="1">
      <x:c r="A44" s="38">
        <x:v>38</x:v>
      </x:c>
      <x:c r="B44" s="38" t="str">
        <x:v>2026/10/08</x:v>
      </x:c>
      <x:c r="C44" s="38" t="s">
        <x:v>305</x:v>
      </x:c>
      <x:c r="D44" s="38" t="str">
        <x:v>T13</x:v>
      </x:c>
      <x:c r="E44" s="38" t="str">
        <x:v>チャット／メッセージ画面＋地図</x:v>
      </x:c>
      <x:c r="F44" s="38" t="str">
        <x:v>埼玉県八潮市</x:v>
      </x:c>
      <x:c r="G44" s="38" t="str">
        <x:v>神奈川県横浜市金沢区</x:v>
      </x:c>
      <x:c r="H44" s="38" t="str">
        <x:v>低</x:v>
      </x:c>
      <x:c r="I44" s="38" t="str">
        <x:v>なし</x:v>
      </x:c>
      <x:c r="J44" s="38" t="n">
        <x:v>13</x:v>
      </x:c>
      <x:c r="K44" s="38" t="n">
        <x:v>0.13</x:v>
      </x:c>
      <x:c r="L44" s="38"/>
      <x:c r="M44" s="38"/>
      <x:c r="N44" s="38"/>
      <x:c r="O44" s="38" t="n">
        <x:v>14</x:v>
      </x:c>
      <x:c r="P44" s="38" t="n">
        <x:v>1</x:v>
      </x:c>
      <x:c r="Q44" s="38" t="n">
        <x:v>0</x:v>
      </x:c>
      <x:c r="R44" s="38" t="n">
        <x:v>0</x:v>
      </x:c>
      <x:c r="S44" s="38" t="n">
        <x:v>0</x:v>
      </x:c>
      <x:c r="T44" s="38" t="n">
        <x:v>0</x:v>
      </x:c>
      <x:c r="U44" s="38" t="str">
        <x:v>成功</x:v>
      </x:c>
      <x:c r="V44" s="38"/>
      <x:c r="W44" s="38"/>
      <x:c r="X44" s="38"/>
      <x:c r="Y44" s="38"/>
      <x:c r="Z44" s="38" t="str">
        <x:v>AI工程完了・人最終確認待ち。AI事前比較：誤読0件、勝手な確定0件、順序評価は原本条件に準拠、禁止情報0件。難易度4/16点。</x:v>
      </x:c>
      <x:c r="AA44" s="38" t="str">
        <x:v>2026/10/08 15:39:07</x:v>
      </x:c>
      <x:c r="AB44" s="38" t="str">
        <x:v>2026/10/08 15:39:07</x:v>
      </x:c>
      <x:c r="AC44" s="38" t="str">
        <x:v>2026/10/08 15:39:07</x:v>
      </x:c>
      <x:c r="AD44" s="38" t="str">
        <x:v>0分00秒</x:v>
      </x:c>
      <x:c r="AE44" s="38" t="str">
        <x:v>2026/10/08 15:39:14</x:v>
      </x:c>
      <x:c r="AF44" s="38" t="str">
        <x:v>2026/10/08 15:39:10</x:v>
      </x:c>
      <x:c r="AG44" s="38" t="str">
        <x:v>2026/10/08 15:39:13</x:v>
      </x:c>
      <x:c r="AH44" s="38" t="str">
        <x:v>0分03秒</x:v>
      </x:c>
      <x:c r="AI44" s="38" t="n">
        <x:v>6</x:v>
      </x:c>
      <x:c r="AJ44" s="38" t="n">
        <x:v>0</x:v>
      </x:c>
      <x:c r="AK44" s="38" t="n">
        <x:v>1</x:v>
      </x:c>
      <x:c r="AL44" s="38" t="str">
        <x:v>一部反映</x:v>
      </x:c>
      <x:c r="AM44" s="38" t="str">
        <x:v>固定読込：A14件／B1件／C6件／D0件。配車指示書Excel・PDF生成済。所要時間：0分08秒。AI事前比較では0件。人最終確認待ち。 要確認／矛盾は確定入力せず。</x:v>
      </x:c>
      <x:c r="AN44" s="38" t="s">
        <x:v>226</x:v>
      </x:c>
      <x:c r="AO44" s="38" t="s">
        <x:v>306</x:v>
      </x:c>
      <x:c r="AP44" s="38" t="s">
        <x:v>228</x:v>
      </x:c>
      <x:c r="AQ44" s="38" t="s">
        <x:v>229</x:v>
      </x:c>
      <x:c r="AR44" s="38" t="s">
        <x:v>307</x:v>
      </x:c>
      <x:c r="AS44" s="38" t="s">
        <x:v>118</x:v>
      </x:c>
      <x:c r="AT44" s="38" t="s">
        <x:v>231</x:v>
      </x:c>
      <x:c r="AU44" s="38" t="s">
        <x:v>232</x:v>
      </x:c>
      <x:c r="AV44" s="38" t="s">
        <x:v>308</x:v>
      </x:c>
    </x:row>
    <x:row r="45" ht="17.649999618530273" customHeight="1">
      <x:c r="A45" s="38">
        <x:v>39</x:v>
      </x:c>
      <x:c r="B45" s="38" t="str">
        <x:v>2026/10/08</x:v>
      </x:c>
      <x:c r="C45" s="38" t="s">
        <x:v>309</x:v>
      </x:c>
      <x:c r="D45" s="38" t="str">
        <x:v>T03</x:v>
      </x:c>
      <x:c r="E45" s="38" t="str">
        <x:v>手書き依頼メモ</x:v>
      </x:c>
      <x:c r="F45" s="38" t="str">
        <x:v>茨城県つくば市</x:v>
      </x:c>
      <x:c r="G45" s="38" t="str">
        <x:v>東京都江東区</x:v>
      </x:c>
      <x:c r="H45" s="38" t="str">
        <x:v>低</x:v>
      </x:c>
      <x:c r="I45" s="38" t="str">
        <x:v>なし</x:v>
      </x:c>
      <x:c r="J45" s="38" t="n">
        <x:v>13</x:v>
      </x:c>
      <x:c r="K45" s="38" t="n">
        <x:v>0.13</x:v>
      </x:c>
      <x:c r="L45" s="38"/>
      <x:c r="M45" s="38"/>
      <x:c r="N45" s="38"/>
      <x:c r="O45" s="38" t="n">
        <x:v>14</x:v>
      </x:c>
      <x:c r="P45" s="38" t="n">
        <x:v>0</x:v>
      </x:c>
      <x:c r="Q45" s="38" t="n">
        <x:v>0</x:v>
      </x:c>
      <x:c r="R45" s="38" t="n">
        <x:v>0</x:v>
      </x:c>
      <x:c r="S45" s="38" t="n">
        <x:v>0</x:v>
      </x:c>
      <x:c r="T45" s="38" t="n">
        <x:v>0</x:v>
      </x:c>
      <x:c r="U45" s="38" t="str">
        <x:v>成功</x:v>
      </x:c>
      <x:c r="V45" s="38"/>
      <x:c r="W45" s="38"/>
      <x:c r="X45" s="38"/>
      <x:c r="Y45" s="38"/>
      <x:c r="Z45" s="38" t="str">
        <x:v>AI工程完了・人最終確認待ち。AI事前比較：誤読0件、勝手な確定0件、順序評価は原本条件に準拠、禁止情報0件。難易度2/16点。</x:v>
      </x:c>
      <x:c r="AA45" s="38" t="str">
        <x:v>2026/10/08 15:39:16</x:v>
      </x:c>
      <x:c r="AB45" s="38" t="str">
        <x:v>2026/10/08 15:39:16</x:v>
      </x:c>
      <x:c r="AC45" s="38" t="str">
        <x:v>2026/10/08 15:39:16</x:v>
      </x:c>
      <x:c r="AD45" s="38" t="str">
        <x:v>0分00秒</x:v>
      </x:c>
      <x:c r="AE45" s="38" t="str">
        <x:v>2026/10/08 15:39:23</x:v>
      </x:c>
      <x:c r="AF45" s="38" t="str">
        <x:v>2026/10/08 15:39:19</x:v>
      </x:c>
      <x:c r="AG45" s="38" t="str">
        <x:v>2026/10/08 15:39:22</x:v>
      </x:c>
      <x:c r="AH45" s="38" t="str">
        <x:v>0分03秒</x:v>
      </x:c>
      <x:c r="AI45" s="38" t="n">
        <x:v>7</x:v>
      </x:c>
      <x:c r="AJ45" s="38" t="n">
        <x:v>0</x:v>
      </x:c>
      <x:c r="AK45" s="38" t="n">
        <x:v>0</x:v>
      </x:c>
      <x:c r="AL45" s="38" t="str">
        <x:v>反映済</x:v>
      </x:c>
      <x:c r="AM45" s="38" t="str">
        <x:v>固定読込：A14件／B0件／C7件／D0件。配車指示書Excel・PDF生成済。所要時間：0分08秒。AI事前比較では0件。人最終確認待ち。</x:v>
      </x:c>
      <x:c r="AN45" s="38" t="s">
        <x:v>132</x:v>
      </x:c>
      <x:c r="AO45" s="38" t="s">
        <x:v>310</x:v>
      </x:c>
      <x:c r="AP45" s="38" t="s">
        <x:v>134</x:v>
      </x:c>
      <x:c r="AQ45" s="38" t="s">
        <x:v>135</x:v>
      </x:c>
      <x:c r="AR45" s="38" t="s">
        <x:v>311</x:v>
      </x:c>
      <x:c r="AS45" s="38" t="s">
        <x:v>118</x:v>
      </x:c>
      <x:c r="AT45" s="38" t="s">
        <x:v>137</x:v>
      </x:c>
      <x:c r="AU45" s="38" t="s">
        <x:v>138</x:v>
      </x:c>
      <x:c r="AV45" s="38" t="s">
        <x:v>312</x:v>
      </x:c>
    </x:row>
    <x:row r="46" ht="17.649999618530273" customHeight="1">
      <x:c r="A46" s="38">
        <x:v>40</x:v>
      </x:c>
      <x:c r="B46" s="38" t="str">
        <x:v>2026/10/08</x:v>
      </x:c>
      <x:c r="C46" s="38" t="s">
        <x:v>313</x:v>
      </x:c>
      <x:c r="D46" s="38" t="str">
        <x:v>T03</x:v>
      </x:c>
      <x:c r="E46" s="38" t="str">
        <x:v>手書きルートメモ</x:v>
      </x:c>
      <x:c r="F46" s="38" t="str">
        <x:v>大阪府東大阪市</x:v>
      </x:c>
      <x:c r="G46" s="38" t="str">
        <x:v>兵庫県尼崎市</x:v>
      </x:c>
      <x:c r="H46" s="38" t="str">
        <x:v>中</x:v>
      </x:c>
      <x:c r="I46" s="38" t="str">
        <x:v>なし</x:v>
      </x:c>
      <x:c r="J46" s="38" t="n">
        <x:v>10</x:v>
      </x:c>
      <x:c r="K46" s="38" t="n">
        <x:v>0.13</x:v>
      </x:c>
      <x:c r="L46" s="38"/>
      <x:c r="M46" s="38"/>
      <x:c r="N46" s="38"/>
      <x:c r="O46" s="38" t="n">
        <x:v>11</x:v>
      </x:c>
      <x:c r="P46" s="38" t="n">
        <x:v>2</x:v>
      </x:c>
      <x:c r="Q46" s="38" t="n">
        <x:v>0</x:v>
      </x:c>
      <x:c r="R46" s="38" t="n">
        <x:v>0</x:v>
      </x:c>
      <x:c r="S46" s="38" t="n">
        <x:v>0</x:v>
      </x:c>
      <x:c r="T46" s="38" t="n">
        <x:v>0</x:v>
      </x:c>
      <x:c r="U46" s="38" t="str">
        <x:v>成功</x:v>
      </x:c>
      <x:c r="V46" s="38"/>
      <x:c r="W46" s="38"/>
      <x:c r="X46" s="38"/>
      <x:c r="Y46" s="38"/>
      <x:c r="Z46" s="38" t="str">
        <x:v>AI工程完了・人最終確認待ち。AI事前比較：誤読0件、勝手な確定0件、順序評価は原本条件に準拠、禁止情報0件。難易度6/16点。</x:v>
      </x:c>
      <x:c r="AA46" s="38" t="str">
        <x:v>2026/10/08 15:39:25</x:v>
      </x:c>
      <x:c r="AB46" s="38" t="str">
        <x:v>2026/10/08 15:39:25</x:v>
      </x:c>
      <x:c r="AC46" s="38" t="str">
        <x:v>2026/10/08 15:39:25</x:v>
      </x:c>
      <x:c r="AD46" s="38" t="str">
        <x:v>0分00秒</x:v>
      </x:c>
      <x:c r="AE46" s="38" t="str">
        <x:v>2026/10/08 15:39:32</x:v>
      </x:c>
      <x:c r="AF46" s="38" t="str">
        <x:v>2026/10/08 15:39:28</x:v>
      </x:c>
      <x:c r="AG46" s="38" t="str">
        <x:v>2026/10/08 15:39:31</x:v>
      </x:c>
      <x:c r="AH46" s="38" t="str">
        <x:v>0分03秒</x:v>
      </x:c>
      <x:c r="AI46" s="38" t="n">
        <x:v>8</x:v>
      </x:c>
      <x:c r="AJ46" s="38" t="n">
        <x:v>0</x:v>
      </x:c>
      <x:c r="AK46" s="38" t="n">
        <x:v>2</x:v>
      </x:c>
      <x:c r="AL46" s="38" t="str">
        <x:v>一部反映</x:v>
      </x:c>
      <x:c r="AM46" s="38" t="str">
        <x:v>固定読込：A11件／B2件／C8件／D0件。配車指示書Excel・PDF生成済。所要時間：0分08秒。AI事前比較では0件。人最終確認待ち。 要確認／矛盾は確定入力せず。</x:v>
      </x:c>
      <x:c r="AN46" s="38" t="s">
        <x:v>132</x:v>
      </x:c>
      <x:c r="AO46" s="38" t="s">
        <x:v>314</x:v>
      </x:c>
      <x:c r="AP46" s="38" t="s">
        <x:v>134</x:v>
      </x:c>
      <x:c r="AQ46" s="38" t="s">
        <x:v>135</x:v>
      </x:c>
      <x:c r="AR46" s="38" t="s">
        <x:v>315</x:v>
      </x:c>
      <x:c r="AS46" s="38" t="s">
        <x:v>118</x:v>
      </x:c>
      <x:c r="AT46" s="38" t="s">
        <x:v>137</x:v>
      </x:c>
      <x:c r="AU46" s="38" t="s">
        <x:v>138</x:v>
      </x:c>
      <x:c r="AV46" s="38" t="s">
        <x:v>316</x:v>
      </x:c>
    </x:row>
    <x:row r="47" ht="17.649999618530273" customHeight="1">
      <x:c r="A47" s="38">
        <x:v>41</x:v>
      </x:c>
      <x:c r="B47" s="38" t="str">
        <x:v>2026/10/08</x:v>
      </x:c>
      <x:c r="C47" s="38" t="s">
        <x:v>317</x:v>
      </x:c>
      <x:c r="D47" s="38" t="str">
        <x:v>T11</x:v>
      </x:c>
      <x:c r="E47" s="38" t="str">
        <x:v>しわ・破れのある印字帳票</x:v>
      </x:c>
      <x:c r="F47" s="38" t="str">
        <x:v>記載なし</x:v>
      </x:c>
      <x:c r="G47" s="38" t="str">
        <x:v>大阪府堺市西区</x:v>
      </x:c>
      <x:c r="H47" s="38" t="str">
        <x:v>低</x:v>
      </x:c>
      <x:c r="I47" s="38" t="str">
        <x:v>なし</x:v>
      </x:c>
      <x:c r="J47" s="38" t="n">
        <x:v>10</x:v>
      </x:c>
      <x:c r="K47" s="38" t="n">
        <x:v>0.08</x:v>
      </x:c>
      <x:c r="L47" s="38"/>
      <x:c r="M47" s="38"/>
      <x:c r="N47" s="38"/>
      <x:c r="O47" s="38" t="n">
        <x:v>12</x:v>
      </x:c>
      <x:c r="P47" s="38" t="n">
        <x:v>0</x:v>
      </x:c>
      <x:c r="Q47" s="38" t="n">
        <x:v>0</x:v>
      </x:c>
      <x:c r="R47" s="38" t="n">
        <x:v>0</x:v>
      </x:c>
      <x:c r="S47" s="38" t="n">
        <x:v>0</x:v>
      </x:c>
      <x:c r="T47" s="38" t="n">
        <x:v>0</x:v>
      </x:c>
      <x:c r="U47" s="38" t="str">
        <x:v>成功</x:v>
      </x:c>
      <x:c r="V47" s="38"/>
      <x:c r="W47" s="38"/>
      <x:c r="X47" s="38"/>
      <x:c r="Y47" s="38"/>
      <x:c r="Z47" s="38" t="str">
        <x:v>AI事前比較で元画像・固定読取・Excel・PDFを確認。4t平ボディと小型車希望の適合確認が必要。 人最終確認待ち。難易度暫定5/16点。計測は再読込以降。</x:v>
      </x:c>
      <x:c r="AA47" s="38" t="str">
        <x:v>2026/10/08 16:30:50</x:v>
      </x:c>
      <x:c r="AB47" s="38" t="str">
        <x:v>2026/10/08 16:30:50</x:v>
      </x:c>
      <x:c r="AC47" s="38" t="str">
        <x:v>2026/10/08 16:30:50</x:v>
      </x:c>
      <x:c r="AD47" s="38" t="str">
        <x:v>0分00秒</x:v>
      </x:c>
      <x:c r="AE47" s="38" t="str">
        <x:v>2026/10/08 16:30:55</x:v>
      </x:c>
      <x:c r="AF47" s="38" t="str">
        <x:v>2026/10/08 16:30:50</x:v>
      </x:c>
      <x:c r="AG47" s="38" t="str">
        <x:v>2026/10/08 16:30:55</x:v>
      </x:c>
      <x:c r="AH47" s="38" t="str">
        <x:v>0分04秒</x:v>
      </x:c>
      <x:c r="AI47" s="38" t="n">
        <x:v>9</x:v>
      </x:c>
      <x:c r="AJ47" s="38" t="n">
        <x:v>0</x:v>
      </x:c>
      <x:c r="AK47" s="38" t="n">
        <x:v>0</x:v>
      </x:c>
      <x:c r="AL47" s="38" t="str">
        <x:v>反映済</x:v>
      </x:c>
      <x:c r="AM47" s="38" t="str">
        <x:v>固定読込A12 B0 C9 D0。人最終確認待ち。厳密な初回読込所要時間は未測定（再読込時刻から計測）。</x:v>
      </x:c>
      <x:c r="AN47" s="38" t="s">
        <x:v>318</x:v>
      </x:c>
      <x:c r="AO47" s="38" t="s">
        <x:v>319</x:v>
      </x:c>
      <x:c r="AP47" s="38" t="s">
        <x:v>320</x:v>
      </x:c>
      <x:c r="AQ47" s="38" t="s">
        <x:v>321</x:v>
      </x:c>
      <x:c r="AR47" s="38" t="s">
        <x:v>322</x:v>
      </x:c>
      <x:c r="AS47" s="38" t="s">
        <x:v>118</x:v>
      </x:c>
      <x:c r="AT47" s="38" t="s">
        <x:v>323</x:v>
      </x:c>
      <x:c r="AU47" s="38" t="s">
        <x:v>324</x:v>
      </x:c>
      <x:c r="AV47" s="38" t="s">
        <x:v>325</x:v>
      </x:c>
    </x:row>
    <x:row r="48" ht="17.649999618530273" customHeight="1">
      <x:c r="A48" s="38">
        <x:v>42</x:v>
      </x:c>
      <x:c r="B48" s="38" t="str">
        <x:v>2026/10/08</x:v>
      </x:c>
      <x:c r="C48" s="38" t="s">
        <x:v>326</x:v>
      </x:c>
      <x:c r="D48" s="38" t="str">
        <x:v>T03</x:v>
      </x:c>
      <x:c r="E48" s="38" t="str">
        <x:v>手書きメモ</x:v>
      </x:c>
      <x:c r="F48" s="38" t="str">
        <x:v>要確認</x:v>
      </x:c>
      <x:c r="G48" s="38" t="str">
        <x:v>奈良県</x:v>
      </x:c>
      <x:c r="H48" s="38" t="str">
        <x:v>低</x:v>
      </x:c>
      <x:c r="I48" s="38" t="str">
        <x:v>なし</x:v>
      </x:c>
      <x:c r="J48" s="38" t="n">
        <x:v>10</x:v>
      </x:c>
      <x:c r="K48" s="38" t="n">
        <x:v>0.04</x:v>
      </x:c>
      <x:c r="L48" s="38"/>
      <x:c r="M48" s="38"/>
      <x:c r="N48" s="38"/>
      <x:c r="O48" s="38" t="n">
        <x:v>11</x:v>
      </x:c>
      <x:c r="P48" s="38" t="n">
        <x:v>2</x:v>
      </x:c>
      <x:c r="Q48" s="38" t="n">
        <x:v>0</x:v>
      </x:c>
      <x:c r="R48" s="38" t="n">
        <x:v>0</x:v>
      </x:c>
      <x:c r="S48" s="38" t="n">
        <x:v>0</x:v>
      </x:c>
      <x:c r="T48" s="38" t="n">
        <x:v>0</x:v>
      </x:c>
      <x:c r="U48" s="38" t="str">
        <x:v>成功</x:v>
      </x:c>
      <x:c r="V48" s="38"/>
      <x:c r="W48" s="38"/>
      <x:c r="X48" s="38"/>
      <x:c r="Y48" s="38"/>
      <x:c r="Z48" s="38" t="str">
        <x:v>AI事前比較で元画像・固定読取・Excel・PDFを確認。手書き。年の記載なし。積地・卸地住所は要確認。 人最終確認待ち。難易度暫定5/16点。計測は再読込以降。</x:v>
      </x:c>
      <x:c r="AA48" s="38" t="str">
        <x:v>2026/10/08 16:30:57</x:v>
      </x:c>
      <x:c r="AB48" s="38" t="str">
        <x:v>2026/10/08 16:30:57</x:v>
      </x:c>
      <x:c r="AC48" s="38" t="str">
        <x:v>2026/10/08 16:30:57</x:v>
      </x:c>
      <x:c r="AD48" s="38" t="str">
        <x:v>0分00秒</x:v>
      </x:c>
      <x:c r="AE48" s="38" t="str">
        <x:v>2026/10/08 16:30:59</x:v>
      </x:c>
      <x:c r="AF48" s="38" t="str">
        <x:v>2026/10/08 16:30:57</x:v>
      </x:c>
      <x:c r="AG48" s="38" t="str">
        <x:v>2026/10/08 16:30:59</x:v>
      </x:c>
      <x:c r="AH48" s="38" t="str">
        <x:v>0分02秒</x:v>
      </x:c>
      <x:c r="AI48" s="38" t="n">
        <x:v>8</x:v>
      </x:c>
      <x:c r="AJ48" s="38" t="n">
        <x:v>0</x:v>
      </x:c>
      <x:c r="AK48" s="38" t="n">
        <x:v>2</x:v>
      </x:c>
      <x:c r="AL48" s="38" t="str">
        <x:v>一部反映</x:v>
      </x:c>
      <x:c r="AM48" s="38" t="str">
        <x:v>固定読込A11 B2 C8 D0。人最終確認待ち。厳密な初回読込所要時間は未測定（再読込時刻から計測）。</x:v>
      </x:c>
      <x:c r="AN48" s="38" t="s">
        <x:v>132</x:v>
      </x:c>
      <x:c r="AO48" s="38" t="s">
        <x:v>281</x:v>
      </x:c>
      <x:c r="AP48" s="38" t="s">
        <x:v>134</x:v>
      </x:c>
      <x:c r="AQ48" s="38" t="s">
        <x:v>135</x:v>
      </x:c>
      <x:c r="AR48" s="38" t="s">
        <x:v>327</x:v>
      </x:c>
      <x:c r="AS48" s="38" t="s">
        <x:v>118</x:v>
      </x:c>
      <x:c r="AT48" s="38" t="s">
        <x:v>137</x:v>
      </x:c>
      <x:c r="AU48" s="38" t="s">
        <x:v>138</x:v>
      </x:c>
      <x:c r="AV48" s="38" t="s">
        <x:v>328</x:v>
      </x:c>
    </x:row>
    <x:row r="49" ht="17.649999618530273" customHeight="1">
      <x:c r="A49" s="38">
        <x:v>43</x:v>
      </x:c>
      <x:c r="B49" s="38" t="str">
        <x:v>2026/10/08</x:v>
      </x:c>
      <x:c r="C49" s="38" t="s">
        <x:v>329</x:v>
      </x:c>
      <x:c r="D49" s="38" t="str">
        <x:v>T01</x:v>
      </x:c>
      <x:c r="E49" s="38" t="str">
        <x:v>FAX送信票（鮮明）</x:v>
      </x:c>
      <x:c r="F49" s="38" t="str">
        <x:v>愛知県一宮市</x:v>
      </x:c>
      <x:c r="G49" s="38" t="str">
        <x:v>岐阜県岐阜市</x:v>
      </x:c>
      <x:c r="H49" s="38" t="str">
        <x:v>低</x:v>
      </x:c>
      <x:c r="I49" s="38" t="str">
        <x:v>なし</x:v>
      </x:c>
      <x:c r="J49" s="38" t="n">
        <x:v>9</x:v>
      </x:c>
      <x:c r="K49" s="38" t="n">
        <x:v>0.04</x:v>
      </x:c>
      <x:c r="L49" s="38"/>
      <x:c r="M49" s="38"/>
      <x:c r="N49" s="38"/>
      <x:c r="O49" s="38" t="n">
        <x:v>11</x:v>
      </x:c>
      <x:c r="P49" s="38" t="n">
        <x:v>2</x:v>
      </x:c>
      <x:c r="Q49" s="38" t="n">
        <x:v>0</x:v>
      </x:c>
      <x:c r="R49" s="38" t="n">
        <x:v>0</x:v>
      </x:c>
      <x:c r="S49" s="38" t="n">
        <x:v>0</x:v>
      </x:c>
      <x:c r="T49" s="38" t="n">
        <x:v>0</x:v>
      </x:c>
      <x:c r="U49" s="38" t="str">
        <x:v>成功</x:v>
      </x:c>
      <x:c r="V49" s="38"/>
      <x:c r="W49" s="38"/>
      <x:c r="X49" s="38"/>
      <x:c r="Y49" s="38"/>
      <x:c r="Z49" s="38" t="str">
        <x:v>AI事前比較で元画像・固定読取・Excel・PDFを確認。現場連絡先を特定の現地担当者と断定しない。 人最終確認待ち。難易度暫定2/16点。計測は再読込以降。</x:v>
      </x:c>
      <x:c r="AA49" s="38" t="str">
        <x:v>2026/10/08 16:31:01</x:v>
      </x:c>
      <x:c r="AB49" s="38" t="str">
        <x:v>2026/10/08 16:31:01</x:v>
      </x:c>
      <x:c r="AC49" s="38" t="str">
        <x:v>2026/10/08 16:31:01</x:v>
      </x:c>
      <x:c r="AD49" s="38" t="str">
        <x:v>0分00秒</x:v>
      </x:c>
      <x:c r="AE49" s="38" t="str">
        <x:v>2026/10/08 16:31:04</x:v>
      </x:c>
      <x:c r="AF49" s="38" t="str">
        <x:v>2026/10/08 16:31:01</x:v>
      </x:c>
      <x:c r="AG49" s="38" t="str">
        <x:v>2026/10/08 16:31:04</x:v>
      </x:c>
      <x:c r="AH49" s="38" t="str">
        <x:v>0分02秒</x:v>
      </x:c>
      <x:c r="AI49" s="38" t="n">
        <x:v>8</x:v>
      </x:c>
      <x:c r="AJ49" s="38" t="n">
        <x:v>0</x:v>
      </x:c>
      <x:c r="AK49" s="38" t="n">
        <x:v>2</x:v>
      </x:c>
      <x:c r="AL49" s="38" t="str">
        <x:v>一部反映</x:v>
      </x:c>
      <x:c r="AM49" s="38" t="str">
        <x:v>固定読込A11 B2 C8 D0。人最終確認待ち。厳密な初回読込所要時間は未測定（再読込時刻から計測）。</x:v>
      </x:c>
      <x:c r="AN49" s="38" t="s">
        <x:v>113</x:v>
      </x:c>
      <x:c r="AO49" s="38" t="s">
        <x:v>330</x:v>
      </x:c>
      <x:c r="AP49" s="38" t="s">
        <x:v>115</x:v>
      </x:c>
      <x:c r="AQ49" s="38" t="s">
        <x:v>116</x:v>
      </x:c>
      <x:c r="AR49" s="38" t="s">
        <x:v>331</x:v>
      </x:c>
      <x:c r="AS49" s="38" t="s">
        <x:v>118</x:v>
      </x:c>
      <x:c r="AT49" s="38" t="s">
        <x:v>119</x:v>
      </x:c>
      <x:c r="AU49" s="38" t="s">
        <x:v>120</x:v>
      </x:c>
      <x:c r="AV49" s="38" t="s">
        <x:v>332</x:v>
      </x:c>
    </x:row>
    <x:row r="50" ht="26.399999618530273" customHeight="1">
      <x:c r="A50" s="38">
        <x:v>44</x:v>
      </x:c>
      <x:c r="B50" s="38" t="str">
        <x:v>2026/10/08</x:v>
      </x:c>
      <x:c r="C50" s="38" t="s">
        <x:v>333</x:v>
      </x:c>
      <x:c r="D50" s="38" t="str">
        <x:v>T06</x:v>
      </x:c>
      <x:c r="E50" s="38" t="str">
        <x:v>スマホメール画面</x:v>
      </x:c>
      <x:c r="F50" s="38" t="str">
        <x:v>群馬県太田市</x:v>
      </x:c>
      <x:c r="G50" s="38" t="str">
        <x:v>栃木県宇都宮市</x:v>
      </x:c>
      <x:c r="H50" s="38" t="str">
        <x:v>低</x:v>
      </x:c>
      <x:c r="I50" s="38" t="str">
        <x:v>なし</x:v>
      </x:c>
      <x:c r="J50" s="38" t="n">
        <x:v>12</x:v>
      </x:c>
      <x:c r="K50" s="38" t="n">
        <x:v>0.04</x:v>
      </x:c>
      <x:c r="L50" s="38"/>
      <x:c r="M50" s="38"/>
      <x:c r="N50" s="38"/>
      <x:c r="O50" s="38" t="n">
        <x:v>13</x:v>
      </x:c>
      <x:c r="P50" s="38" t="n">
        <x:v>0</x:v>
      </x:c>
      <x:c r="Q50" s="38" t="n">
        <x:v>0</x:v>
      </x:c>
      <x:c r="R50" s="38" t="n">
        <x:v>0</x:v>
      </x:c>
      <x:c r="S50" s="38" t="n">
        <x:v>0</x:v>
      </x:c>
      <x:c r="T50" s="38" t="n">
        <x:v>0</x:v>
      </x:c>
      <x:c r="U50" s="38" t="str">
        <x:v>成功</x:v>
      </x:c>
      <x:c r="V50" s="38"/>
      <x:c r="W50" s="38"/>
      <x:c r="X50" s="38"/>
      <x:c r="Y50" s="38"/>
      <x:c r="Z50" s="38" t="str">
        <x:v>AI事前比較で元画像・固定読取・Excel・PDFを確認。メールの送信者と荷主ヘッダーを混同しない。 人最終確認待ち。難易度暫定2/16点。計測は再読込以降。</x:v>
      </x:c>
      <x:c r="AA50" s="38" t="str">
        <x:v>2026/10/08 16:31:05</x:v>
      </x:c>
      <x:c r="AB50" s="38" t="str">
        <x:v>2026/10/08 16:31:05</x:v>
      </x:c>
      <x:c r="AC50" s="38" t="str">
        <x:v>2026/10/08 16:31:05</x:v>
      </x:c>
      <x:c r="AD50" s="38" t="str">
        <x:v>0分00秒</x:v>
      </x:c>
      <x:c r="AE50" s="38" t="str">
        <x:v>2026/10/08 16:31:07</x:v>
      </x:c>
      <x:c r="AF50" s="38" t="str">
        <x:v>2026/10/08 16:31:05</x:v>
      </x:c>
      <x:c r="AG50" s="38" t="str">
        <x:v>2026/10/08 16:31:07</x:v>
      </x:c>
      <x:c r="AH50" s="38" t="str">
        <x:v>0分02秒</x:v>
      </x:c>
      <x:c r="AI50" s="38" t="n">
        <x:v>8</x:v>
      </x:c>
      <x:c r="AJ50" s="38" t="n">
        <x:v>0</x:v>
      </x:c>
      <x:c r="AK50" s="38" t="n">
        <x:v>0</x:v>
      </x:c>
      <x:c r="AL50" s="38" t="str">
        <x:v>反映済</x:v>
      </x:c>
      <x:c r="AM50" s="38" t="str">
        <x:v>固定読込A13 B0 C8 D0。人最終確認待ち。厳密な初回読込所要時間は未測定（再読込時刻から計測）。</x:v>
      </x:c>
      <x:c r="AN50" s="38" t="s">
        <x:v>168</x:v>
      </x:c>
      <x:c r="AO50" s="38" t="s">
        <x:v>142</x:v>
      </x:c>
      <x:c r="AP50" s="38" t="s">
        <x:v>170</x:v>
      </x:c>
      <x:c r="AQ50" s="38" t="s">
        <x:v>171</x:v>
      </x:c>
      <x:c r="AR50" s="38" t="s">
        <x:v>334</x:v>
      </x:c>
      <x:c r="AS50" s="38" t="s">
        <x:v>118</x:v>
      </x:c>
      <x:c r="AT50" s="38" t="s">
        <x:v>173</x:v>
      </x:c>
      <x:c r="AU50" s="38" t="s">
        <x:v>174</x:v>
      </x:c>
      <x:c r="AV50" s="38" t="s">
        <x:v>335</x:v>
      </x:c>
    </x:row>
    <x:row r="51" ht="17.649999618530273" customHeight="1">
      <x:c r="A51" s="38">
        <x:v>45</x:v>
      </x:c>
      <x:c r="B51" s="38" t="str">
        <x:v>2026/10/08</x:v>
      </x:c>
      <x:c r="C51" s="38" t="s">
        <x:v>336</x:v>
      </x:c>
      <x:c r="D51" s="38" t="str">
        <x:v>T11</x:v>
      </x:c>
      <x:c r="E51" s="38" t="str">
        <x:v>汚損した印字帳票</x:v>
      </x:c>
      <x:c r="F51" s="38" t="str">
        <x:v>記載なし</x:v>
      </x:c>
      <x:c r="G51" s="38" t="str">
        <x:v>埼玉県川口市</x:v>
      </x:c>
      <x:c r="H51" s="38" t="str">
        <x:v>低</x:v>
      </x:c>
      <x:c r="I51" s="38" t="str">
        <x:v>なし</x:v>
      </x:c>
      <x:c r="J51" s="38" t="n">
        <x:v>7</x:v>
      </x:c>
      <x:c r="K51" s="38" t="n">
        <x:v>0.04</x:v>
      </x:c>
      <x:c r="L51" s="38"/>
      <x:c r="M51" s="38"/>
      <x:c r="N51" s="38"/>
      <x:c r="O51" s="38" t="n">
        <x:v>8</x:v>
      </x:c>
      <x:c r="P51" s="38" t="n">
        <x:v>3</x:v>
      </x:c>
      <x:c r="Q51" s="38" t="n">
        <x:v>0</x:v>
      </x:c>
      <x:c r="R51" s="38" t="n">
        <x:v>0</x:v>
      </x:c>
      <x:c r="S51" s="38" t="n">
        <x:v>0</x:v>
      </x:c>
      <x:c r="T51" s="38" t="n">
        <x:v>0</x:v>
      </x:c>
      <x:c r="U51" s="38" t="str">
        <x:v>成功</x:v>
      </x:c>
      <x:c r="V51" s="38"/>
      <x:c r="W51" s="38"/>
      <x:c r="X51" s="38"/>
      <x:c r="Y51" s="38"/>
      <x:c r="Z51" s="38" t="str">
        <x:v>AI事前比較で元画像・固定読取・Excel・PDFを確認。用紙汚損。発行者と連絡先帰属は要確認。 人最終確認待ち。難易度暫定3/16点。計測は再読込以降。</x:v>
      </x:c>
      <x:c r="AA51" s="38" t="str">
        <x:v>2026/10/08 16:31:09</x:v>
      </x:c>
      <x:c r="AB51" s="38" t="str">
        <x:v>2026/10/08 16:31:09</x:v>
      </x:c>
      <x:c r="AC51" s="38" t="str">
        <x:v>2026/10/08 16:31:09</x:v>
      </x:c>
      <x:c r="AD51" s="38" t="str">
        <x:v>0分00秒</x:v>
      </x:c>
      <x:c r="AE51" s="38" t="str">
        <x:v>2026/10/08 16:31:11</x:v>
      </x:c>
      <x:c r="AF51" s="38" t="str">
        <x:v>2026/10/08 16:31:09</x:v>
      </x:c>
      <x:c r="AG51" s="38" t="str">
        <x:v>2026/10/08 16:31:11</x:v>
      </x:c>
      <x:c r="AH51" s="38" t="str">
        <x:v>0分02秒</x:v>
      </x:c>
      <x:c r="AI51" s="38" t="n">
        <x:v>10</x:v>
      </x:c>
      <x:c r="AJ51" s="38" t="n">
        <x:v>0</x:v>
      </x:c>
      <x:c r="AK51" s="38" t="n">
        <x:v>3</x:v>
      </x:c>
      <x:c r="AL51" s="38" t="str">
        <x:v>一部反映</x:v>
      </x:c>
      <x:c r="AM51" s="38" t="str">
        <x:v>固定読込A8 B3 C10 D0。人最終確認待ち。厳密な初回読込所要時間は未測定（再読込時刻から計測）。</x:v>
      </x:c>
      <x:c r="AN51" s="38" t="s">
        <x:v>318</x:v>
      </x:c>
      <x:c r="AO51" s="38" t="s">
        <x:v>337</x:v>
      </x:c>
      <x:c r="AP51" s="38" t="s">
        <x:v>320</x:v>
      </x:c>
      <x:c r="AQ51" s="38" t="s">
        <x:v>321</x:v>
      </x:c>
      <x:c r="AR51" s="38" t="s">
        <x:v>338</x:v>
      </x:c>
      <x:c r="AS51" s="38" t="s">
        <x:v>118</x:v>
      </x:c>
      <x:c r="AT51" s="38" t="s">
        <x:v>323</x:v>
      </x:c>
      <x:c r="AU51" s="38" t="s">
        <x:v>324</x:v>
      </x:c>
      <x:c r="AV51" s="38" t="s">
        <x:v>339</x:v>
      </x:c>
    </x:row>
    <x:row r="52" ht="17.649999618530273" customHeight="1">
      <x:c r="A52" s="38">
        <x:v>46</x:v>
      </x:c>
      <x:c r="B52" s="38" t="str">
        <x:v>2026/10/08</x:v>
      </x:c>
      <x:c r="C52" s="38" t="s">
        <x:v>340</x:v>
      </x:c>
      <x:c r="D52" s="38" t="str">
        <x:v>T08</x:v>
      </x:c>
      <x:c r="E52" s="38" t="str">
        <x:v>手書き現場搬入図（補助資料）</x:v>
      </x:c>
      <x:c r="F52" s="38" t="str">
        <x:v>記載なし</x:v>
      </x:c>
      <x:c r="G52" s="38" t="str">
        <x:v>記載なし</x:v>
      </x:c>
      <x:c r="H52" s="38" t="str">
        <x:v>低</x:v>
      </x:c>
      <x:c r="I52" s="38" t="str">
        <x:v>なし</x:v>
      </x:c>
      <x:c r="J52" s="38" t="n">
        <x:v>2</x:v>
      </x:c>
      <x:c r="K52" s="38" t="n">
        <x:v>0.03</x:v>
      </x:c>
      <x:c r="L52" s="38"/>
      <x:c r="M52" s="38"/>
      <x:c r="N52" s="38"/>
      <x:c r="O52" s="38" t="n">
        <x:v>3</x:v>
      </x:c>
      <x:c r="P52" s="38" t="n">
        <x:v>0</x:v>
      </x:c>
      <x:c r="Q52" s="38" t="n">
        <x:v>0</x:v>
      </x:c>
      <x:c r="R52" s="38" t="n">
        <x:v>0</x:v>
      </x:c>
      <x:c r="S52" s="38" t="n">
        <x:v>0</x:v>
      </x:c>
      <x:c r="T52" s="38" t="n">
        <x:v>0</x:v>
      </x:c>
      <x:c r="U52" s="38" t="str">
        <x:v>成功</x:v>
      </x:c>
      <x:c r="V52" s="38"/>
      <x:c r="W52" s="38"/>
      <x:c r="X52" s="38"/>
      <x:c r="Y52" s="38"/>
      <x:c r="Z52" s="38" t="str">
        <x:v>AI事前比較で元画像・固定読取・Excel・PDFを確認。現場案内図であり積地卸地の住所・日時・荷物は記載なし。 人最終確認待ち。難易度暫定5/16点。計測は再読込以降。</x:v>
      </x:c>
      <x:c r="AA52" s="38" t="str">
        <x:v>2026/10/08 16:31:12</x:v>
      </x:c>
      <x:c r="AB52" s="38" t="str">
        <x:v>2026/10/08 16:31:12</x:v>
      </x:c>
      <x:c r="AC52" s="38" t="str">
        <x:v>2026/10/08 16:31:12</x:v>
      </x:c>
      <x:c r="AD52" s="38" t="str">
        <x:v>0分00秒</x:v>
      </x:c>
      <x:c r="AE52" s="38" t="str">
        <x:v>2026/10/08 16:31:14</x:v>
      </x:c>
      <x:c r="AF52" s="38" t="str">
        <x:v>2026/10/08 16:31:12</x:v>
      </x:c>
      <x:c r="AG52" s="38" t="str">
        <x:v>2026/10/08 16:31:14</x:v>
      </x:c>
      <x:c r="AH52" s="38" t="str">
        <x:v>0分01秒</x:v>
      </x:c>
      <x:c r="AI52" s="38" t="n">
        <x:v>18</x:v>
      </x:c>
      <x:c r="AJ52" s="38" t="n">
        <x:v>0</x:v>
      </x:c>
      <x:c r="AK52" s="38" t="n">
        <x:v>0</x:v>
      </x:c>
      <x:c r="AL52" s="38" t="str">
        <x:v>反映済</x:v>
      </x:c>
      <x:c r="AM52" s="38" t="str">
        <x:v>固定読込A3 B0 C18 D0。人最終確認待ち。厳密な初回読込所要時間は未測定（再読込時刻から計測）。</x:v>
      </x:c>
      <x:c r="AN52" s="38" t="s">
        <x:v>260</x:v>
      </x:c>
      <x:c r="AO52" s="38" t="s">
        <x:v>341</x:v>
      </x:c>
      <x:c r="AP52" s="38" t="s">
        <x:v>261</x:v>
      </x:c>
      <x:c r="AQ52" s="38" t="s">
        <x:v>262</x:v>
      </x:c>
      <x:c r="AR52" s="38" t="s">
        <x:v>342</x:v>
      </x:c>
      <x:c r="AS52" s="38" t="s">
        <x:v>118</x:v>
      </x:c>
      <x:c r="AT52" s="38" t="s">
        <x:v>264</x:v>
      </x:c>
      <x:c r="AU52" s="38" t="s">
        <x:v>265</x:v>
      </x:c>
      <x:c r="AV52" s="38" t="s">
        <x:v>343</x:v>
      </x:c>
    </x:row>
    <x:row r="53" ht="17.649999618530273" customHeight="1">
      <x:c r="A53" s="38">
        <x:v>47</x:v>
      </x:c>
      <x:c r="B53" s="38" t="str">
        <x:v>2026/10/08</x:v>
      </x:c>
      <x:c r="C53" s="38" t="s">
        <x:v>344</x:v>
      </x:c>
      <x:c r="D53" s="38" t="str">
        <x:v>T01</x:v>
      </x:c>
      <x:c r="E53" s="38" t="str">
        <x:v>小型定型印字帳票</x:v>
      </x:c>
      <x:c r="F53" s="38" t="str">
        <x:v>記載なし</x:v>
      </x:c>
      <x:c r="G53" s="38" t="str">
        <x:v>埼玉県さいたま市浦和区</x:v>
      </x:c>
      <x:c r="H53" s="38" t="str">
        <x:v>低</x:v>
      </x:c>
      <x:c r="I53" s="38" t="str">
        <x:v>なし</x:v>
      </x:c>
      <x:c r="J53" s="38" t="n">
        <x:v>9</x:v>
      </x:c>
      <x:c r="K53" s="38" t="n">
        <x:v>0.04</x:v>
      </x:c>
      <x:c r="L53" s="38"/>
      <x:c r="M53" s="38"/>
      <x:c r="N53" s="38"/>
      <x:c r="O53" s="38" t="n">
        <x:v>10</x:v>
      </x:c>
      <x:c r="P53" s="38" t="n">
        <x:v>0</x:v>
      </x:c>
      <x:c r="Q53" s="38" t="n">
        <x:v>0</x:v>
      </x:c>
      <x:c r="R53" s="38" t="n">
        <x:v>0</x:v>
      </x:c>
      <x:c r="S53" s="38" t="n">
        <x:v>0</x:v>
      </x:c>
      <x:c r="T53" s="38" t="n">
        <x:v>0</x:v>
      </x:c>
      <x:c r="U53" s="38" t="str">
        <x:v>成功</x:v>
      </x:c>
      <x:c r="V53" s="38"/>
      <x:c r="W53" s="38"/>
      <x:c r="X53" s="38"/>
      <x:c r="Y53" s="38"/>
      <x:c r="Z53" s="38" t="str">
        <x:v>AI事前比較で元画像・固定読取・Excel・PDFを確認。現場事務所TELは現場連絡先として記録。 人最終確認待ち。難易度暫定2/16点。計測は再読込以降。</x:v>
      </x:c>
      <x:c r="AA53" s="38" t="str">
        <x:v>2026/10/08 16:31:16</x:v>
      </x:c>
      <x:c r="AB53" s="38" t="str">
        <x:v>2026/10/08 16:31:16</x:v>
      </x:c>
      <x:c r="AC53" s="38" t="str">
        <x:v>2026/10/08 16:31:16</x:v>
      </x:c>
      <x:c r="AD53" s="38" t="str">
        <x:v>0分00秒</x:v>
      </x:c>
      <x:c r="AE53" s="38" t="str">
        <x:v>2026/10/08 16:31:18</x:v>
      </x:c>
      <x:c r="AF53" s="38" t="str">
        <x:v>2026/10/08 16:31:16</x:v>
      </x:c>
      <x:c r="AG53" s="38" t="str">
        <x:v>2026/10/08 16:31:18</x:v>
      </x:c>
      <x:c r="AH53" s="38" t="str">
        <x:v>0分02秒</x:v>
      </x:c>
      <x:c r="AI53" s="38" t="n">
        <x:v>11</x:v>
      </x:c>
      <x:c r="AJ53" s="38" t="n">
        <x:v>0</x:v>
      </x:c>
      <x:c r="AK53" s="38" t="n">
        <x:v>0</x:v>
      </x:c>
      <x:c r="AL53" s="38" t="str">
        <x:v>反映済</x:v>
      </x:c>
      <x:c r="AM53" s="38" t="str">
        <x:v>固定読込A10 B0 C11 D0。人最終確認待ち。厳密な初回読込所要時間は未測定（再読込時刻から計測）。</x:v>
      </x:c>
      <x:c r="AN53" s="38" t="s">
        <x:v>113</x:v>
      </x:c>
      <x:c r="AO53" s="38" t="s">
        <x:v>345</x:v>
      </x:c>
      <x:c r="AP53" s="38" t="s">
        <x:v>115</x:v>
      </x:c>
      <x:c r="AQ53" s="38" t="s">
        <x:v>116</x:v>
      </x:c>
      <x:c r="AR53" s="38" t="s">
        <x:v>346</x:v>
      </x:c>
      <x:c r="AS53" s="38" t="s">
        <x:v>118</x:v>
      </x:c>
      <x:c r="AT53" s="38" t="s">
        <x:v>119</x:v>
      </x:c>
      <x:c r="AU53" s="38" t="s">
        <x:v>120</x:v>
      </x:c>
      <x:c r="AV53" s="38" t="s">
        <x:v>347</x:v>
      </x:c>
    </x:row>
    <x:row r="54" ht="17.649999618530273" customHeight="1">
      <x:c r="A54" s="38">
        <x:v>48</x:v>
      </x:c>
      <x:c r="B54" s="38" t="str">
        <x:v>2026/10/08</x:v>
      </x:c>
      <x:c r="C54" s="38" t="s">
        <x:v>348</x:v>
      </x:c>
      <x:c r="D54" s="38" t="str">
        <x:v>T03</x:v>
      </x:c>
      <x:c r="E54" s="38" t="str">
        <x:v>付箋手書きメモ</x:v>
      </x:c>
      <x:c r="F54" s="38" t="str">
        <x:v>千葉県千葉市若葉区</x:v>
      </x:c>
      <x:c r="G54" s="38" t="str">
        <x:v>千葉県船橋市</x:v>
      </x:c>
      <x:c r="H54" s="38" t="str">
        <x:v>低</x:v>
      </x:c>
      <x:c r="I54" s="38" t="str">
        <x:v>なし</x:v>
      </x:c>
      <x:c r="J54" s="38" t="n">
        <x:v>9</x:v>
      </x:c>
      <x:c r="K54" s="38" t="n">
        <x:v>0.03</x:v>
      </x:c>
      <x:c r="L54" s="38"/>
      <x:c r="M54" s="38"/>
      <x:c r="N54" s="38"/>
      <x:c r="O54" s="38" t="n">
        <x:v>10</x:v>
      </x:c>
      <x:c r="P54" s="38" t="n">
        <x:v>2</x:v>
      </x:c>
      <x:c r="Q54" s="38" t="n">
        <x:v>0</x:v>
      </x:c>
      <x:c r="R54" s="38" t="n">
        <x:v>0</x:v>
      </x:c>
      <x:c r="S54" s="38" t="n">
        <x:v>0</x:v>
      </x:c>
      <x:c r="T54" s="38" t="n">
        <x:v>0</x:v>
      </x:c>
      <x:c r="U54" s="38" t="str">
        <x:v>成功</x:v>
      </x:c>
      <x:c r="V54" s="38"/>
      <x:c r="W54" s="38"/>
      <x:c r="X54" s="38"/>
      <x:c r="Y54" s="38"/>
      <x:c r="Z54" s="38" t="str">
        <x:v>AI事前比較で元画像・固定読取・Excel・PDFを確認。朝一・午後を特定時刻に変換せず。 人最終確認待ち。難易度暫定5/16点。計測は再読込以降。</x:v>
      </x:c>
      <x:c r="AA54" s="38" t="str">
        <x:v>2026/10/08 16:31:20</x:v>
      </x:c>
      <x:c r="AB54" s="38" t="str">
        <x:v>2026/10/08 16:31:20</x:v>
      </x:c>
      <x:c r="AC54" s="38" t="str">
        <x:v>2026/10/08 16:31:20</x:v>
      </x:c>
      <x:c r="AD54" s="38" t="str">
        <x:v>0分00秒</x:v>
      </x:c>
      <x:c r="AE54" s="38" t="str">
        <x:v>2026/10/08 16:31:22</x:v>
      </x:c>
      <x:c r="AF54" s="38" t="str">
        <x:v>2026/10/08 16:31:20</x:v>
      </x:c>
      <x:c r="AG54" s="38" t="str">
        <x:v>2026/10/08 16:31:22</x:v>
      </x:c>
      <x:c r="AH54" s="38" t="str">
        <x:v>0分02秒</x:v>
      </x:c>
      <x:c r="AI54" s="38" t="n">
        <x:v>9</x:v>
      </x:c>
      <x:c r="AJ54" s="38" t="n">
        <x:v>0</x:v>
      </x:c>
      <x:c r="AK54" s="38" t="n">
        <x:v>2</x:v>
      </x:c>
      <x:c r="AL54" s="38" t="str">
        <x:v>一部反映</x:v>
      </x:c>
      <x:c r="AM54" s="38" t="str">
        <x:v>固定読込A10 B2 C9 D0。人最終確認待ち。厳密な初回読込所要時間は未測定（再読込時刻から計測）。</x:v>
      </x:c>
      <x:c r="AN54" s="38" t="s">
        <x:v>132</x:v>
      </x:c>
      <x:c r="AO54" s="38" t="s">
        <x:v>281</x:v>
      </x:c>
      <x:c r="AP54" s="38" t="s">
        <x:v>134</x:v>
      </x:c>
      <x:c r="AQ54" s="38" t="s">
        <x:v>135</x:v>
      </x:c>
      <x:c r="AR54" s="38" t="s">
        <x:v>349</x:v>
      </x:c>
      <x:c r="AS54" s="38" t="s">
        <x:v>118</x:v>
      </x:c>
      <x:c r="AT54" s="38" t="s">
        <x:v>137</x:v>
      </x:c>
      <x:c r="AU54" s="38" t="s">
        <x:v>138</x:v>
      </x:c>
      <x:c r="AV54" s="38" t="s">
        <x:v>350</x:v>
      </x:c>
    </x:row>
    <x:row r="55" ht="17.649999618530273" customHeight="1">
      <x:c r="A55" s="38">
        <x:v>49</x:v>
      </x:c>
      <x:c r="B55" s="38" t="str">
        <x:v>2026/10/08</x:v>
      </x:c>
      <x:c r="C55" s="38" t="s">
        <x:v>351</x:v>
      </x:c>
      <x:c r="D55" s="38" t="str">
        <x:v>T02</x:v>
      </x:c>
      <x:c r="E55" s="38" t="str">
        <x:v>強劣化FAX</x:v>
      </x:c>
      <x:c r="F55" s="38" t="str">
        <x:v>大阪府大阪市住之江区</x:v>
      </x:c>
      <x:c r="G55" s="38" t="str">
        <x:v>大阪府大阪市中央区</x:v>
      </x:c>
      <x:c r="H55" s="38" t="str">
        <x:v>低</x:v>
      </x:c>
      <x:c r="I55" s="38" t="str">
        <x:v>なし</x:v>
      </x:c>
      <x:c r="J55" s="38" t="n">
        <x:v>8</x:v>
      </x:c>
      <x:c r="K55" s="38" t="n">
        <x:v>0.07</x:v>
      </x:c>
      <x:c r="L55" s="38"/>
      <x:c r="M55" s="38"/>
      <x:c r="N55" s="38"/>
      <x:c r="O55" s="38" t="n">
        <x:v>9</x:v>
      </x:c>
      <x:c r="P55" s="38" t="n">
        <x:v>2</x:v>
      </x:c>
      <x:c r="Q55" s="38" t="n">
        <x:v>0</x:v>
      </x:c>
      <x:c r="R55" s="38" t="n">
        <x:v>0</x:v>
      </x:c>
      <x:c r="S55" s="38" t="n">
        <x:v>0</x:v>
      </x:c>
      <x:c r="T55" s="38" t="n">
        <x:v>0</x:v>
      </x:c>
      <x:c r="U55" s="38" t="str">
        <x:v>成功</x:v>
      </x:c>
      <x:c r="V55" s="38"/>
      <x:c r="W55" s="38"/>
      <x:c r="X55" s="38"/>
      <x:c r="Y55" s="38"/>
      <x:c r="Z55" s="38" t="str">
        <x:v>AI事前比較で元画像・固定読取・Excel・PDFを確認。FAX劣化。送信日時を積日とみなさない。 人最終確認待ち。難易度暫定3/16点。計測は再読込以降。</x:v>
      </x:c>
      <x:c r="AA55" s="38" t="str">
        <x:v>2026/10/08 16:31:53</x:v>
      </x:c>
      <x:c r="AB55" s="38" t="str">
        <x:v>2026/10/08 16:31:53</x:v>
      </x:c>
      <x:c r="AC55" s="38" t="str">
        <x:v>2026/10/08 16:31:53</x:v>
      </x:c>
      <x:c r="AD55" s="38" t="str">
        <x:v>0分00秒</x:v>
      </x:c>
      <x:c r="AE55" s="38" t="str">
        <x:v>2026/10/08 16:31:57</x:v>
      </x:c>
      <x:c r="AF55" s="38" t="str">
        <x:v>2026/10/08 16:31:53</x:v>
      </x:c>
      <x:c r="AG55" s="38" t="str">
        <x:v>2026/10/08 16:31:57</x:v>
      </x:c>
      <x:c r="AH55" s="38" t="str">
        <x:v>0分04秒</x:v>
      </x:c>
      <x:c r="AI55" s="38" t="n">
        <x:v>10</x:v>
      </x:c>
      <x:c r="AJ55" s="38" t="n">
        <x:v>0</x:v>
      </x:c>
      <x:c r="AK55" s="38" t="n">
        <x:v>2</x:v>
      </x:c>
      <x:c r="AL55" s="38" t="str">
        <x:v>一部反映</x:v>
      </x:c>
      <x:c r="AM55" s="38" t="str">
        <x:v>固定読込A9 B2 C10 D0。人最終確認待ち。厳密な初回読込所要時間は未測定（再読込時刻から計測）。</x:v>
      </x:c>
      <x:c r="AN55" s="38" t="s">
        <x:v>123</x:v>
      </x:c>
      <x:c r="AO55" s="38" t="s">
        <x:v>352</x:v>
      </x:c>
      <x:c r="AP55" s="38" t="s">
        <x:v>125</x:v>
      </x:c>
      <x:c r="AQ55" s="38" t="s">
        <x:v>126</x:v>
      </x:c>
      <x:c r="AR55" s="38" t="s">
        <x:v>353</x:v>
      </x:c>
      <x:c r="AS55" s="38" t="s">
        <x:v>118</x:v>
      </x:c>
      <x:c r="AT55" s="38" t="s">
        <x:v>128</x:v>
      </x:c>
      <x:c r="AU55" s="38" t="s">
        <x:v>129</x:v>
      </x:c>
      <x:c r="AV55" s="38" t="s">
        <x:v>354</x:v>
      </x:c>
    </x:row>
    <x:row r="56" ht="17.649999618530273" customHeight="1">
      <x:c r="A56" s="38">
        <x:v>50</x:v>
      </x:c>
      <x:c r="B56" s="38" t="str">
        <x:v>2026/10/08</x:v>
      </x:c>
      <x:c r="C56" s="38" t="s">
        <x:v>355</x:v>
      </x:c>
      <x:c r="D56" s="38" t="str">
        <x:v>T01</x:v>
      </x:c>
      <x:c r="E56" s="38" t="str">
        <x:v>小型定型印字帳票</x:v>
      </x:c>
      <x:c r="F56" s="38" t="str">
        <x:v>富山県富山市</x:v>
      </x:c>
      <x:c r="G56" s="38" t="str">
        <x:v>石川県金沢市</x:v>
      </x:c>
      <x:c r="H56" s="38" t="str">
        <x:v>低</x:v>
      </x:c>
      <x:c r="I56" s="38" t="str">
        <x:v>なし</x:v>
      </x:c>
      <x:c r="J56" s="38" t="n">
        <x:v>8</x:v>
      </x:c>
      <x:c r="K56" s="38" t="n">
        <x:v>0.04</x:v>
      </x:c>
      <x:c r="L56" s="38"/>
      <x:c r="M56" s="38"/>
      <x:c r="N56" s="38"/>
      <x:c r="O56" s="38" t="n">
        <x:v>10</x:v>
      </x:c>
      <x:c r="P56" s="38" t="n">
        <x:v>5</x:v>
      </x:c>
      <x:c r="Q56" s="38" t="n">
        <x:v>0</x:v>
      </x:c>
      <x:c r="R56" s="38" t="n">
        <x:v>0</x:v>
      </x:c>
      <x:c r="S56" s="38" t="n">
        <x:v>0</x:v>
      </x:c>
      <x:c r="T56" s="38" t="n">
        <x:v>0</x:v>
      </x:c>
      <x:c r="U56" s="38" t="str">
        <x:v>成功</x:v>
      </x:c>
      <x:c r="V56" s="38"/>
      <x:c r="W56" s="38"/>
      <x:c r="X56" s="38"/>
      <x:c r="Y56" s="38"/>
      <x:c r="Z56" s="38" t="str">
        <x:v>AI事前比較で元画像・固定読取・Excel・PDFを確認。夜間搬入の積地／卸地との紐付け不明。 人最終確認待ち。難易度暫定3/16点。計測は再読込以降。</x:v>
      </x:c>
      <x:c r="AA56" s="38" t="str">
        <x:v>2026/10/08 16:31:59</x:v>
      </x:c>
      <x:c r="AB56" s="38" t="str">
        <x:v>2026/10/08 16:31:59</x:v>
      </x:c>
      <x:c r="AC56" s="38" t="str">
        <x:v>2026/10/08 16:31:59</x:v>
      </x:c>
      <x:c r="AD56" s="38" t="str">
        <x:v>0分00秒</x:v>
      </x:c>
      <x:c r="AE56" s="38" t="str">
        <x:v>2026/10/08 16:32:02</x:v>
      </x:c>
      <x:c r="AF56" s="38" t="str">
        <x:v>2026/10/08 16:31:59</x:v>
      </x:c>
      <x:c r="AG56" s="38" t="str">
        <x:v>2026/10/08 16:32:02</x:v>
      </x:c>
      <x:c r="AH56" s="38" t="str">
        <x:v>0分02秒</x:v>
      </x:c>
      <x:c r="AI56" s="38" t="n">
        <x:v>6</x:v>
      </x:c>
      <x:c r="AJ56" s="38" t="n">
        <x:v>0</x:v>
      </x:c>
      <x:c r="AK56" s="38" t="n">
        <x:v>5</x:v>
      </x:c>
      <x:c r="AL56" s="38" t="str">
        <x:v>一部反映</x:v>
      </x:c>
      <x:c r="AM56" s="38" t="str">
        <x:v>固定読込A10 B5 C6 D0。人最終確認待ち。厳密な初回読込所要時間は未測定（再読込時刻から計測）。</x:v>
      </x:c>
      <x:c r="AN56" s="38" t="s">
        <x:v>113</x:v>
      </x:c>
      <x:c r="AO56" s="38" t="s">
        <x:v>177</x:v>
      </x:c>
      <x:c r="AP56" s="38" t="s">
        <x:v>115</x:v>
      </x:c>
      <x:c r="AQ56" s="38" t="s">
        <x:v>116</x:v>
      </x:c>
      <x:c r="AR56" s="38" t="s">
        <x:v>356</x:v>
      </x:c>
      <x:c r="AS56" s="38" t="s">
        <x:v>118</x:v>
      </x:c>
      <x:c r="AT56" s="38" t="s">
        <x:v>119</x:v>
      </x:c>
      <x:c r="AU56" s="38" t="s">
        <x:v>120</x:v>
      </x:c>
      <x:c r="AV56" s="38" t="s">
        <x:v>357</x:v>
      </x:c>
    </x:row>
    <x:row r="57" ht="17.649999618530273" customHeight="1">
      <x:c r="A57" s="38">
        <x:v>51</x:v>
      </x:c>
      <x:c r="B57" s="38" t="str">
        <x:v>2026/10/08</x:v>
      </x:c>
      <x:c r="C57" s="38" t="s">
        <x:v>358</x:v>
      </x:c>
      <x:c r="D57" s="38" t="str">
        <x:v>T11</x:v>
      </x:c>
      <x:c r="E57" s="38" t="str">
        <x:v>しわのある印字帳票</x:v>
      </x:c>
      <x:c r="F57" s="38" t="str">
        <x:v>埼玉県川越市</x:v>
      </x:c>
      <x:c r="G57" s="38" t="str">
        <x:v>神奈川県相模原市中央区</x:v>
      </x:c>
      <x:c r="H57" s="38" t="str">
        <x:v>低</x:v>
      </x:c>
      <x:c r="I57" s="38" t="str">
        <x:v>なし</x:v>
      </x:c>
      <x:c r="J57" s="38" t="n">
        <x:v>11</x:v>
      </x:c>
      <x:c r="K57" s="38" t="n">
        <x:v>0.08</x:v>
      </x:c>
      <x:c r="L57" s="38"/>
      <x:c r="M57" s="38"/>
      <x:c r="N57" s="38"/>
      <x:c r="O57" s="38" t="n">
        <x:v>13</x:v>
      </x:c>
      <x:c r="P57" s="38" t="n">
        <x:v>0</x:v>
      </x:c>
      <x:c r="Q57" s="38" t="n">
        <x:v>0</x:v>
      </x:c>
      <x:c r="R57" s="38" t="n">
        <x:v>0</x:v>
      </x:c>
      <x:c r="S57" s="38" t="n">
        <x:v>0</x:v>
      </x:c>
      <x:c r="T57" s="38" t="n">
        <x:v>0</x:v>
      </x:c>
      <x:c r="U57" s="38" t="str">
        <x:v>成功</x:v>
      </x:c>
      <x:c r="V57" s="38"/>
      <x:c r="W57" s="38"/>
      <x:c r="X57" s="38"/>
      <x:c r="Y57" s="38"/>
      <x:c r="Z57" s="38" t="str">
        <x:v>AI事前比較で元画像・固定読取・Excel・PDFを確認。担当の所属が原本上断定できないため、現場担当として転記しない。 人最終確認待ち。難易度暫定2/16点。計測は再読込以降。</x:v>
      </x:c>
      <x:c r="AA57" s="38" t="str">
        <x:v>2026/10/08 16:38:53</x:v>
      </x:c>
      <x:c r="AB57" s="38" t="str">
        <x:v>2026/10/08 16:38:53</x:v>
      </x:c>
      <x:c r="AC57" s="38" t="str">
        <x:v>2026/10/08 16:38:53</x:v>
      </x:c>
      <x:c r="AD57" s="38" t="str">
        <x:v>0分00秒</x:v>
      </x:c>
      <x:c r="AE57" s="38" t="str">
        <x:v>2026/10/08 16:38:58</x:v>
      </x:c>
      <x:c r="AF57" s="38" t="str">
        <x:v>2026/10/08 16:38:53</x:v>
      </x:c>
      <x:c r="AG57" s="38" t="str">
        <x:v>2026/10/08 16:38:58</x:v>
      </x:c>
      <x:c r="AH57" s="38" t="str">
        <x:v>0分04秒</x:v>
      </x:c>
      <x:c r="AI57" s="38" t="n">
        <x:v>8</x:v>
      </x:c>
      <x:c r="AJ57" s="38" t="n">
        <x:v>0</x:v>
      </x:c>
      <x:c r="AK57" s="38" t="n">
        <x:v>0</x:v>
      </x:c>
      <x:c r="AL57" s="38" t="str">
        <x:v>反映済</x:v>
      </x:c>
      <x:c r="AM57" s="38" t="str">
        <x:v>固定読込A13 B0 C8 D0。人最終確認待ち。厳密な初回読込所要時間は未測定（再読込時刻から計測）。</x:v>
      </x:c>
      <x:c r="AN57" s="38" t="s">
        <x:v>318</x:v>
      </x:c>
      <x:c r="AO57" s="38" t="s">
        <x:v>235</x:v>
      </x:c>
      <x:c r="AP57" s="38" t="s">
        <x:v>320</x:v>
      </x:c>
      <x:c r="AQ57" s="38" t="s">
        <x:v>321</x:v>
      </x:c>
      <x:c r="AR57" s="38" t="s">
        <x:v>359</x:v>
      </x:c>
      <x:c r="AS57" s="38" t="s">
        <x:v>118</x:v>
      </x:c>
      <x:c r="AT57" s="38" t="s">
        <x:v>323</x:v>
      </x:c>
      <x:c r="AU57" s="38" t="s">
        <x:v>324</x:v>
      </x:c>
      <x:c r="AV57" s="38" t="s">
        <x:v>360</x:v>
      </x:c>
    </x:row>
    <x:row r="58" ht="17.649999618530273" customHeight="1">
      <x:c r="A58" s="38">
        <x:v>52</x:v>
      </x:c>
      <x:c r="B58" s="38" t="str">
        <x:v>2026/10/08</x:v>
      </x:c>
      <x:c r="C58" s="38" t="s">
        <x:v>361</x:v>
      </x:c>
      <x:c r="D58" s="38" t="str">
        <x:v>T06</x:v>
      </x:c>
      <x:c r="E58" s="38" t="str">
        <x:v>スマホメール画面</x:v>
      </x:c>
      <x:c r="F58" s="38" t="str">
        <x:v>東京都足立区</x:v>
      </x:c>
      <x:c r="G58" s="38" t="str">
        <x:v>群馬県太田市</x:v>
      </x:c>
      <x:c r="H58" s="38" t="str">
        <x:v>低</x:v>
      </x:c>
      <x:c r="I58" s="38" t="str">
        <x:v>なし</x:v>
      </x:c>
      <x:c r="J58" s="38" t="n">
        <x:v>11</x:v>
      </x:c>
      <x:c r="K58" s="38" t="n">
        <x:v>0.05</x:v>
      </x:c>
      <x:c r="L58" s="38"/>
      <x:c r="M58" s="38"/>
      <x:c r="N58" s="38"/>
      <x:c r="O58" s="38" t="n">
        <x:v>12</x:v>
      </x:c>
      <x:c r="P58" s="38" t="n">
        <x:v>0</x:v>
      </x:c>
      <x:c r="Q58" s="38" t="n">
        <x:v>0</x:v>
      </x:c>
      <x:c r="R58" s="38" t="n">
        <x:v>0</x:v>
      </x:c>
      <x:c r="S58" s="38" t="n">
        <x:v>0</x:v>
      </x:c>
      <x:c r="T58" s="38" t="n">
        <x:v>0</x:v>
      </x:c>
      <x:c r="U58" s="38" t="str">
        <x:v>成功</x:v>
      </x:c>
      <x:c r="V58" s="38"/>
      <x:c r="W58" s="38"/>
      <x:c r="X58" s="38"/>
      <x:c r="Y58" s="38"/>
      <x:c r="Z58" s="38" t="str">
        <x:v>AI事前比較で元画像・固定読取・Excel・PDFを確認。メール送信者は現地担当者とみなさない。 人最終確認待ち。難易度暫定2/16点。計測は再読込以降。</x:v>
      </x:c>
      <x:c r="AA58" s="38" t="str">
        <x:v>2026/10/08 16:39:00</x:v>
      </x:c>
      <x:c r="AB58" s="38" t="str">
        <x:v>2026/10/08 16:39:00</x:v>
      </x:c>
      <x:c r="AC58" s="38" t="str">
        <x:v>2026/10/08 16:39:00</x:v>
      </x:c>
      <x:c r="AD58" s="38" t="str">
        <x:v>0分00秒</x:v>
      </x:c>
      <x:c r="AE58" s="38" t="str">
        <x:v>2026/10/08 16:39:03</x:v>
      </x:c>
      <x:c r="AF58" s="38" t="str">
        <x:v>2026/10/08 16:39:00</x:v>
      </x:c>
      <x:c r="AG58" s="38" t="str">
        <x:v>2026/10/08 16:39:03</x:v>
      </x:c>
      <x:c r="AH58" s="38" t="str">
        <x:v>0分02秒</x:v>
      </x:c>
      <x:c r="AI58" s="38" t="n">
        <x:v>9</x:v>
      </x:c>
      <x:c r="AJ58" s="38" t="n">
        <x:v>0</x:v>
      </x:c>
      <x:c r="AK58" s="38" t="n">
        <x:v>0</x:v>
      </x:c>
      <x:c r="AL58" s="38" t="str">
        <x:v>反映済</x:v>
      </x:c>
      <x:c r="AM58" s="38" t="str">
        <x:v>固定読込A12 B0 C9 D0。人最終確認待ち。厳密な初回読込所要時間は未測定（再読込時刻から計測）。</x:v>
      </x:c>
      <x:c r="AN58" s="38" t="s">
        <x:v>168</x:v>
      </x:c>
      <x:c r="AO58" s="38" t="s">
        <x:v>142</x:v>
      </x:c>
      <x:c r="AP58" s="38" t="s">
        <x:v>170</x:v>
      </x:c>
      <x:c r="AQ58" s="38" t="s">
        <x:v>171</x:v>
      </x:c>
      <x:c r="AR58" s="38" t="s">
        <x:v>362</x:v>
      </x:c>
      <x:c r="AS58" s="38" t="s">
        <x:v>118</x:v>
      </x:c>
      <x:c r="AT58" s="38" t="s">
        <x:v>173</x:v>
      </x:c>
      <x:c r="AU58" s="38" t="s">
        <x:v>174</x:v>
      </x:c>
      <x:c r="AV58" s="38" t="s">
        <x:v>363</x:v>
      </x:c>
    </x:row>
    <x:row r="59" ht="17.649999618530273" customHeight="1">
      <x:c r="A59" s="38">
        <x:v>53</x:v>
      </x:c>
      <x:c r="B59" s="38" t="str">
        <x:v>2026/10/08</x:v>
      </x:c>
      <x:c r="C59" s="38" t="s">
        <x:v>364</x:v>
      </x:c>
      <x:c r="D59" s="38" t="str">
        <x:v>T02</x:v>
      </x:c>
      <x:c r="E59" s="38" t="str">
        <x:v>劣化FAX</x:v>
      </x:c>
      <x:c r="F59" s="38" t="str">
        <x:v>千葉県柏市</x:v>
      </x:c>
      <x:c r="G59" s="38" t="str">
        <x:v>茨城県つくば市</x:v>
      </x:c>
      <x:c r="H59" s="38" t="str">
        <x:v>低</x:v>
      </x:c>
      <x:c r="I59" s="38" t="str">
        <x:v>なし</x:v>
      </x:c>
      <x:c r="J59" s="38" t="n">
        <x:v>10</x:v>
      </x:c>
      <x:c r="K59" s="38" t="n">
        <x:v>0.04</x:v>
      </x:c>
      <x:c r="L59" s="38"/>
      <x:c r="M59" s="38"/>
      <x:c r="N59" s="38"/>
      <x:c r="O59" s="38" t="n">
        <x:v>11</x:v>
      </x:c>
      <x:c r="P59" s="38" t="n">
        <x:v>0</x:v>
      </x:c>
      <x:c r="Q59" s="38" t="n">
        <x:v>0</x:v>
      </x:c>
      <x:c r="R59" s="38" t="n">
        <x:v>0</x:v>
      </x:c>
      <x:c r="S59" s="38" t="n">
        <x:v>0</x:v>
      </x:c>
      <x:c r="T59" s="38" t="n">
        <x:v>0</x:v>
      </x:c>
      <x:c r="U59" s="38" t="str">
        <x:v>成功</x:v>
      </x:c>
      <x:c r="V59" s="38"/>
      <x:c r="W59" s="38"/>
      <x:c r="X59" s="38"/>
      <x:c r="Y59" s="38"/>
      <x:c r="Z59" s="38" t="str">
        <x:v>AI事前比較で元画像・固定読取・Excel・PDFを確認。FAXの記載範囲以外は補完しない。 人最終確認待ち。難易度暫定2/16点。計測は再読込以降。</x:v>
      </x:c>
      <x:c r="AA59" s="38" t="str">
        <x:v>2026/10/08 16:39:05</x:v>
      </x:c>
      <x:c r="AB59" s="38" t="str">
        <x:v>2026/10/08 16:39:05</x:v>
      </x:c>
      <x:c r="AC59" s="38" t="str">
        <x:v>2026/10/08 16:39:05</x:v>
      </x:c>
      <x:c r="AD59" s="38" t="str">
        <x:v>0分00秒</x:v>
      </x:c>
      <x:c r="AE59" s="38" t="str">
        <x:v>2026/10/08 16:39:07</x:v>
      </x:c>
      <x:c r="AF59" s="38" t="str">
        <x:v>2026/10/08 16:39:05</x:v>
      </x:c>
      <x:c r="AG59" s="38" t="str">
        <x:v>2026/10/08 16:39:07</x:v>
      </x:c>
      <x:c r="AH59" s="38" t="str">
        <x:v>0分02秒</x:v>
      </x:c>
      <x:c r="AI59" s="38" t="n">
        <x:v>10</x:v>
      </x:c>
      <x:c r="AJ59" s="38" t="n">
        <x:v>0</x:v>
      </x:c>
      <x:c r="AK59" s="38" t="n">
        <x:v>0</x:v>
      </x:c>
      <x:c r="AL59" s="38" t="str">
        <x:v>反映済</x:v>
      </x:c>
      <x:c r="AM59" s="38" t="str">
        <x:v>固定読込A11 B0 C10 D0。人最終確認待ち。厳密な初回読込所要時間は未測定（再読込時刻から計測）。</x:v>
      </x:c>
      <x:c r="AN59" s="38" t="s">
        <x:v>123</x:v>
      </x:c>
      <x:c r="AO59" s="38" t="s">
        <x:v>365</x:v>
      </x:c>
      <x:c r="AP59" s="38" t="s">
        <x:v>125</x:v>
      </x:c>
      <x:c r="AQ59" s="38" t="s">
        <x:v>126</x:v>
      </x:c>
      <x:c r="AR59" s="38" t="s">
        <x:v>366</x:v>
      </x:c>
      <x:c r="AS59" s="38" t="s">
        <x:v>118</x:v>
      </x:c>
      <x:c r="AT59" s="38" t="s">
        <x:v>128</x:v>
      </x:c>
      <x:c r="AU59" s="38" t="s">
        <x:v>129</x:v>
      </x:c>
      <x:c r="AV59" s="38" t="s">
        <x:v>367</x:v>
      </x:c>
    </x:row>
    <x:row r="60" ht="17.649999618530273" customHeight="1">
      <x:c r="A60" s="38">
        <x:v>54</x:v>
      </x:c>
      <x:c r="B60" s="38" t="str">
        <x:v>2026/10/08</x:v>
      </x:c>
      <x:c r="C60" s="38" t="s">
        <x:v>368</x:v>
      </x:c>
      <x:c r="D60" s="38" t="str">
        <x:v>T03</x:v>
      </x:c>
      <x:c r="E60" s="38" t="str">
        <x:v>手書きメモ</x:v>
      </x:c>
      <x:c r="F60" s="38" t="str">
        <x:v>愛知県一宮市</x:v>
      </x:c>
      <x:c r="G60" s="38" t="str">
        <x:v>岐阜県岐阜市</x:v>
      </x:c>
      <x:c r="H60" s="38" t="str">
        <x:v>低</x:v>
      </x:c>
      <x:c r="I60" s="38" t="str">
        <x:v>なし</x:v>
      </x:c>
      <x:c r="J60" s="38" t="n">
        <x:v>10</x:v>
      </x:c>
      <x:c r="K60" s="38" t="n">
        <x:v>0.03</x:v>
      </x:c>
      <x:c r="L60" s="38"/>
      <x:c r="M60" s="38"/>
      <x:c r="N60" s="38"/>
      <x:c r="O60" s="38" t="n">
        <x:v>11</x:v>
      </x:c>
      <x:c r="P60" s="38" t="n">
        <x:v>0</x:v>
      </x:c>
      <x:c r="Q60" s="38" t="n">
        <x:v>0</x:v>
      </x:c>
      <x:c r="R60" s="38" t="n">
        <x:v>0</x:v>
      </x:c>
      <x:c r="S60" s="38" t="n">
        <x:v>0</x:v>
      </x:c>
      <x:c r="T60" s="38" t="n">
        <x:v>0</x:v>
      </x:c>
      <x:c r="U60" s="38" t="str">
        <x:v>成功</x:v>
      </x:c>
      <x:c r="V60" s="38"/>
      <x:c r="W60" s="38"/>
      <x:c r="X60" s="38"/>
      <x:c r="Y60" s="38"/>
      <x:c r="Z60" s="38" t="str">
        <x:v>AI事前比較で元画像・固定読取・Excel・PDFを確認。時刻の「頃」、数量の「くらい」は原文維持。 人最終確認待ち。難易度暫定5/16点。計測は再読込以降。</x:v>
      </x:c>
      <x:c r="AA60" s="38" t="str">
        <x:v>2026/10/08 16:39:09</x:v>
      </x:c>
      <x:c r="AB60" s="38" t="str">
        <x:v>2026/10/08 16:39:09</x:v>
      </x:c>
      <x:c r="AC60" s="38" t="str">
        <x:v>2026/10/08 16:39:09</x:v>
      </x:c>
      <x:c r="AD60" s="38" t="str">
        <x:v>0分00秒</x:v>
      </x:c>
      <x:c r="AE60" s="38" t="str">
        <x:v>2026/10/08 16:39:11</x:v>
      </x:c>
      <x:c r="AF60" s="38" t="str">
        <x:v>2026/10/08 16:39:09</x:v>
      </x:c>
      <x:c r="AG60" s="38" t="str">
        <x:v>2026/10/08 16:39:11</x:v>
      </x:c>
      <x:c r="AH60" s="38" t="str">
        <x:v>0分02秒</x:v>
      </x:c>
      <x:c r="AI60" s="38" t="n">
        <x:v>10</x:v>
      </x:c>
      <x:c r="AJ60" s="38" t="n">
        <x:v>0</x:v>
      </x:c>
      <x:c r="AK60" s="38" t="n">
        <x:v>0</x:v>
      </x:c>
      <x:c r="AL60" s="38" t="str">
        <x:v>反映済</x:v>
      </x:c>
      <x:c r="AM60" s="38" t="str">
        <x:v>固定読込A11 B0 C10 D0。人最終確認待ち。厳密な初回読込所要時間は未測定（再読込時刻から計測）。</x:v>
      </x:c>
      <x:c r="AN60" s="38" t="s">
        <x:v>132</x:v>
      </x:c>
      <x:c r="AO60" s="38" t="s">
        <x:v>369</x:v>
      </x:c>
      <x:c r="AP60" s="38" t="s">
        <x:v>134</x:v>
      </x:c>
      <x:c r="AQ60" s="38" t="s">
        <x:v>135</x:v>
      </x:c>
      <x:c r="AR60" s="38" t="s">
        <x:v>370</x:v>
      </x:c>
      <x:c r="AS60" s="38" t="s">
        <x:v>118</x:v>
      </x:c>
      <x:c r="AT60" s="38" t="s">
        <x:v>137</x:v>
      </x:c>
      <x:c r="AU60" s="38" t="s">
        <x:v>138</x:v>
      </x:c>
      <x:c r="AV60" s="38" t="s">
        <x:v>371</x:v>
      </x:c>
    </x:row>
    <x:row r="61" ht="17.649999618530273" customHeight="1">
      <x:c r="A61" s="38">
        <x:v>55</x:v>
      </x:c>
      <x:c r="B61" s="38" t="str">
        <x:v>2026/10/08</x:v>
      </x:c>
      <x:c r="C61" s="38" t="s">
        <x:v>372</x:v>
      </x:c>
      <x:c r="D61" s="38" t="str">
        <x:v>T12</x:v>
      </x:c>
      <x:c r="E61" s="38" t="str">
        <x:v>温度指定付き印字帳票</x:v>
      </x:c>
      <x:c r="F61" s="38" t="str">
        <x:v>大阪府大阪市此花区</x:v>
      </x:c>
      <x:c r="G61" s="38" t="str">
        <x:v>兵庫県神戸市中央区</x:v>
      </x:c>
      <x:c r="H61" s="38" t="str">
        <x:v>低</x:v>
      </x:c>
      <x:c r="I61" s="38" t="str">
        <x:v>なし</x:v>
      </x:c>
      <x:c r="J61" s="38" t="n">
        <x:v>10</x:v>
      </x:c>
      <x:c r="K61" s="38" t="n">
        <x:v>0.04</x:v>
      </x:c>
      <x:c r="L61" s="38"/>
      <x:c r="M61" s="38"/>
      <x:c r="N61" s="38"/>
      <x:c r="O61" s="38" t="n">
        <x:v>12</x:v>
      </x:c>
      <x:c r="P61" s="38" t="n">
        <x:v>0</x:v>
      </x:c>
      <x:c r="Q61" s="38" t="n">
        <x:v>0</x:v>
      </x:c>
      <x:c r="R61" s="38" t="n">
        <x:v>0</x:v>
      </x:c>
      <x:c r="S61" s="38" t="n">
        <x:v>0</x:v>
      </x:c>
      <x:c r="T61" s="38" t="n">
        <x:v>0</x:v>
      </x:c>
      <x:c r="U61" s="38" t="str">
        <x:v>成功</x:v>
      </x:c>
      <x:c r="V61" s="38"/>
      <x:c r="W61" s="38"/>
      <x:c r="X61" s="38"/>
      <x:c r="Y61" s="38"/>
      <x:c r="Z61" s="38" t="str">
        <x:v>AI事前比較で元画像・固定読取・Excel・PDFを確認。荷主は出力禁止。冷凍-20℃条件は保持。 人最終確認待ち。難易度暫定1/16点。計測は再読込以降。</x:v>
      </x:c>
      <x:c r="AA61" s="38" t="str">
        <x:v>2026/10/08 16:39:13</x:v>
      </x:c>
      <x:c r="AB61" s="38" t="str">
        <x:v>2026/10/08 16:39:13</x:v>
      </x:c>
      <x:c r="AC61" s="38" t="str">
        <x:v>2026/10/08 16:39:13</x:v>
      </x:c>
      <x:c r="AD61" s="38" t="str">
        <x:v>0分00秒</x:v>
      </x:c>
      <x:c r="AE61" s="38" t="str">
        <x:v>2026/10/08 16:39:15</x:v>
      </x:c>
      <x:c r="AF61" s="38" t="str">
        <x:v>2026/10/08 16:39:13</x:v>
      </x:c>
      <x:c r="AG61" s="38" t="str">
        <x:v>2026/10/08 16:39:15</x:v>
      </x:c>
      <x:c r="AH61" s="38" t="str">
        <x:v>0分02秒</x:v>
      </x:c>
      <x:c r="AI61" s="38" t="n">
        <x:v>9</x:v>
      </x:c>
      <x:c r="AJ61" s="38" t="n">
        <x:v>0</x:v>
      </x:c>
      <x:c r="AK61" s="38" t="n">
        <x:v>0</x:v>
      </x:c>
      <x:c r="AL61" s="38" t="str">
        <x:v>反映済</x:v>
      </x:c>
      <x:c r="AM61" s="38" t="str">
        <x:v>固定読込A12 B0 C9 D0。人最終確認待ち。厳密な初回読込所要時間は未測定（再読込時刻から計測）。</x:v>
      </x:c>
      <x:c r="AN61" s="38" t="s">
        <x:v>373</x:v>
      </x:c>
      <x:c r="AO61" s="38" t="s">
        <x:v>374</x:v>
      </x:c>
      <x:c r="AP61" s="38" t="s">
        <x:v>375</x:v>
      </x:c>
      <x:c r="AQ61" s="38" t="s">
        <x:v>376</x:v>
      </x:c>
      <x:c r="AR61" s="38" t="s">
        <x:v>377</x:v>
      </x:c>
      <x:c r="AS61" s="38" t="s">
        <x:v>118</x:v>
      </x:c>
      <x:c r="AT61" s="38" t="s">
        <x:v>378</x:v>
      </x:c>
      <x:c r="AU61" s="38" t="s">
        <x:v>379</x:v>
      </x:c>
      <x:c r="AV61" s="38" t="s">
        <x:v>380</x:v>
      </x:c>
    </x:row>
    <x:row r="62" ht="17.649999618530273" customHeight="1">
      <x:c r="A62" s="38">
        <x:v>56</x:v>
      </x:c>
      <x:c r="B62" s="38" t="str">
        <x:v>2026/10/08</x:v>
      </x:c>
      <x:c r="C62" s="38" t="s">
        <x:v>381</x:v>
      </x:c>
      <x:c r="D62" s="38" t="str">
        <x:v>T03</x:v>
      </x:c>
      <x:c r="E62" s="38" t="str">
        <x:v>手書きメモ</x:v>
      </x:c>
      <x:c r="F62" s="38" t="str">
        <x:v>静岡県富士市</x:v>
      </x:c>
      <x:c r="G62" s="38" t="str">
        <x:v>静岡県沼津市</x:v>
      </x:c>
      <x:c r="H62" s="38" t="str">
        <x:v>低</x:v>
      </x:c>
      <x:c r="I62" s="38" t="str">
        <x:v>なし</x:v>
      </x:c>
      <x:c r="J62" s="38" t="n">
        <x:v>10</x:v>
      </x:c>
      <x:c r="K62" s="38" t="n">
        <x:v>0.04</x:v>
      </x:c>
      <x:c r="L62" s="38"/>
      <x:c r="M62" s="38"/>
      <x:c r="N62" s="38"/>
      <x:c r="O62" s="38" t="n">
        <x:v>11</x:v>
      </x:c>
      <x:c r="P62" s="38" t="n">
        <x:v>0</x:v>
      </x:c>
      <x:c r="Q62" s="38" t="n">
        <x:v>0</x:v>
      </x:c>
      <x:c r="R62" s="38" t="n">
        <x:v>0</x:v>
      </x:c>
      <x:c r="S62" s="38" t="n">
        <x:v>0</x:v>
      </x:c>
      <x:c r="T62" s="38" t="n">
        <x:v>0</x:v>
      </x:c>
      <x:c r="U62" s="38" t="str">
        <x:v>成功</x:v>
      </x:c>
      <x:c r="V62" s="38"/>
      <x:c r="W62" s="38"/>
      <x:c r="X62" s="38"/>
      <x:c r="Y62" s="38"/>
      <x:c r="Z62" s="38" t="str">
        <x:v>AI事前比較で元画像・固定読取・Excel・PDFを確認。画像内見出しD036は元画像の一部。TELの現地帰属は判断不能。 人最終確認待ち。難易度暫定5/16点。計測は再読込以降。</x:v>
      </x:c>
      <x:c r="AA62" s="38" t="str">
        <x:v>2026/10/08 16:39:17</x:v>
      </x:c>
      <x:c r="AB62" s="38" t="str">
        <x:v>2026/10/08 16:39:17</x:v>
      </x:c>
      <x:c r="AC62" s="38" t="str">
        <x:v>2026/10/08 16:39:17</x:v>
      </x:c>
      <x:c r="AD62" s="38" t="str">
        <x:v>0分00秒</x:v>
      </x:c>
      <x:c r="AE62" s="38" t="str">
        <x:v>2026/10/08 16:39:19</x:v>
      </x:c>
      <x:c r="AF62" s="38" t="str">
        <x:v>2026/10/08 16:39:17</x:v>
      </x:c>
      <x:c r="AG62" s="38" t="str">
        <x:v>2026/10/08 16:39:19</x:v>
      </x:c>
      <x:c r="AH62" s="38" t="str">
        <x:v>0分02秒</x:v>
      </x:c>
      <x:c r="AI62" s="38" t="n">
        <x:v>10</x:v>
      </x:c>
      <x:c r="AJ62" s="38" t="n">
        <x:v>0</x:v>
      </x:c>
      <x:c r="AK62" s="38" t="n">
        <x:v>0</x:v>
      </x:c>
      <x:c r="AL62" s="38" t="str">
        <x:v>反映済</x:v>
      </x:c>
      <x:c r="AM62" s="38" t="str">
        <x:v>固定読込A11 B0 C10 D0。人最終確認待ち。厳密な初回読込所要時間は未測定（再読込時刻から計測）。</x:v>
      </x:c>
      <x:c r="AN62" s="38" t="s">
        <x:v>132</x:v>
      </x:c>
      <x:c r="AO62" s="38" t="s">
        <x:v>281</x:v>
      </x:c>
      <x:c r="AP62" s="38" t="s">
        <x:v>134</x:v>
      </x:c>
      <x:c r="AQ62" s="38" t="s">
        <x:v>135</x:v>
      </x:c>
      <x:c r="AR62" s="38" t="s">
        <x:v>382</x:v>
      </x:c>
      <x:c r="AS62" s="38" t="s">
        <x:v>118</x:v>
      </x:c>
      <x:c r="AT62" s="38" t="s">
        <x:v>137</x:v>
      </x:c>
      <x:c r="AU62" s="38" t="s">
        <x:v>138</x:v>
      </x:c>
      <x:c r="AV62" s="38" t="s">
        <x:v>383</x:v>
      </x:c>
    </x:row>
    <x:row r="63" ht="17.649999618530273" customHeight="1">
      <x:c r="A63" s="38">
        <x:v>57</x:v>
      </x:c>
      <x:c r="B63" s="38" t="str">
        <x:v>2026/10/08</x:v>
      </x:c>
      <x:c r="C63" s="38" t="s">
        <x:v>384</x:v>
      </x:c>
      <x:c r="D63" s="38" t="str">
        <x:v>T07</x:v>
      </x:c>
      <x:c r="E63" s="38" t="str">
        <x:v>定型印字帳票＋赤字追記</x:v>
      </x:c>
      <x:c r="F63" s="38" t="str">
        <x:v>福岡県糸島市</x:v>
      </x:c>
      <x:c r="G63" s="38" t="str">
        <x:v>佐賀県鳥栖市</x:v>
      </x:c>
      <x:c r="H63" s="38" t="str">
        <x:v>低</x:v>
      </x:c>
      <x:c r="I63" s="38" t="str">
        <x:v>なし</x:v>
      </x:c>
      <x:c r="J63" s="38" t="n">
        <x:v>12</x:v>
      </x:c>
      <x:c r="K63" s="38" t="n">
        <x:v>0.07</x:v>
      </x:c>
      <x:c r="L63" s="38"/>
      <x:c r="M63" s="38"/>
      <x:c r="N63" s="38"/>
      <x:c r="O63" s="38" t="n">
        <x:v>13</x:v>
      </x:c>
      <x:c r="P63" s="38" t="n">
        <x:v>0</x:v>
      </x:c>
      <x:c r="Q63" s="38" t="n">
        <x:v>0</x:v>
      </x:c>
      <x:c r="R63" s="38" t="n">
        <x:v>0</x:v>
      </x:c>
      <x:c r="S63" s="38" t="n">
        <x:v>0</x:v>
      </x:c>
      <x:c r="T63" s="38" t="n">
        <x:v>0</x:v>
      </x:c>
      <x:c r="U63" s="38" t="str">
        <x:v>成功</x:v>
      </x:c>
      <x:c r="V63" s="38"/>
      <x:c r="W63" s="38"/>
      <x:c r="X63" s="38"/>
      <x:c r="Y63" s="38"/>
      <x:c r="Z63" s="38" t="str">
        <x:v>AI事前比較で元画像・固定読取・Excel・PDFを確認。17時必着は赤字の追加条件として保持。 人最終確認待ち。難易度暫定3/16点。計測は再読込以降。</x:v>
      </x:c>
      <x:c r="AA63" s="38" t="str">
        <x:v>2026/10/08 16:39:57</x:v>
      </x:c>
      <x:c r="AB63" s="38" t="str">
        <x:v>2026/10/08 16:39:57</x:v>
      </x:c>
      <x:c r="AC63" s="38" t="str">
        <x:v>2026/10/08 16:39:57</x:v>
      </x:c>
      <x:c r="AD63" s="38" t="str">
        <x:v>0分00秒</x:v>
      </x:c>
      <x:c r="AE63" s="38" t="str">
        <x:v>2026/10/08 16:40:01</x:v>
      </x:c>
      <x:c r="AF63" s="38" t="str">
        <x:v>2026/10/08 16:39:57</x:v>
      </x:c>
      <x:c r="AG63" s="38" t="str">
        <x:v>2026/10/08 16:40:01</x:v>
      </x:c>
      <x:c r="AH63" s="38" t="str">
        <x:v>0分04秒</x:v>
      </x:c>
      <x:c r="AI63" s="38" t="n">
        <x:v>8</x:v>
      </x:c>
      <x:c r="AJ63" s="38" t="n">
        <x:v>0</x:v>
      </x:c>
      <x:c r="AK63" s="38" t="n">
        <x:v>0</x:v>
      </x:c>
      <x:c r="AL63" s="38" t="str">
        <x:v>反映済</x:v>
      </x:c>
      <x:c r="AM63" s="38" t="str">
        <x:v>固定読込A13 B0 C8 D0。人最終確認待ち。厳密な初回読込所要時間は未測定（再読込時刻から計測）。</x:v>
      </x:c>
      <x:c r="AN63" s="38" t="s">
        <x:v>141</x:v>
      </x:c>
      <x:c r="AO63" s="38" t="s">
        <x:v>385</x:v>
      </x:c>
      <x:c r="AP63" s="38" t="s">
        <x:v>143</x:v>
      </x:c>
      <x:c r="AQ63" s="38" t="s">
        <x:v>144</x:v>
      </x:c>
      <x:c r="AR63" s="38" t="s">
        <x:v>386</x:v>
      </x:c>
      <x:c r="AS63" s="38" t="s">
        <x:v>118</x:v>
      </x:c>
      <x:c r="AT63" s="38" t="s">
        <x:v>146</x:v>
      </x:c>
      <x:c r="AU63" s="38" t="s">
        <x:v>147</x:v>
      </x:c>
      <x:c r="AV63" s="38" t="s">
        <x:v>387</x:v>
      </x:c>
    </x:row>
    <x:row r="64" ht="17.649999618530273" customHeight="1">
      <x:c r="A64" s="38">
        <x:v>58</x:v>
      </x:c>
      <x:c r="B64" s="38" t="str">
        <x:v>2026/10/08</x:v>
      </x:c>
      <x:c r="C64" s="38" t="s">
        <x:v>388</x:v>
      </x:c>
      <x:c r="D64" s="38" t="str">
        <x:v>T13</x:v>
      </x:c>
      <x:c r="E64" s="38" t="str">
        <x:v>付箋手書きメモ＋簡易地図</x:v>
      </x:c>
      <x:c r="F64" s="38" t="str">
        <x:v>埼玉県さいたま市岩槻区</x:v>
      </x:c>
      <x:c r="G64" s="38" t="str">
        <x:v>東京都江東区</x:v>
      </x:c>
      <x:c r="H64" s="38" t="str">
        <x:v>低</x:v>
      </x:c>
      <x:c r="I64" s="38" t="str">
        <x:v>なし</x:v>
      </x:c>
      <x:c r="J64" s="38" t="n">
        <x:v>12</x:v>
      </x:c>
      <x:c r="K64" s="38" t="n">
        <x:v>0.04</x:v>
      </x:c>
      <x:c r="L64" s="38"/>
      <x:c r="M64" s="38"/>
      <x:c r="N64" s="38"/>
      <x:c r="O64" s="38" t="n">
        <x:v>13</x:v>
      </x:c>
      <x:c r="P64" s="38" t="n">
        <x:v>0</x:v>
      </x:c>
      <x:c r="Q64" s="38" t="n">
        <x:v>0</x:v>
      </x:c>
      <x:c r="R64" s="38" t="n">
        <x:v>0</x:v>
      </x:c>
      <x:c r="S64" s="38" t="n">
        <x:v>0</x:v>
      </x:c>
      <x:c r="T64" s="38" t="n">
        <x:v>0</x:v>
      </x:c>
      <x:c r="U64" s="38" t="str">
        <x:v>成功</x:v>
      </x:c>
      <x:c r="V64" s="38"/>
      <x:c r="W64" s="38"/>
      <x:c r="X64" s="38"/>
      <x:c r="Y64" s="38"/>
      <x:c r="Z64" s="38" t="str">
        <x:v>AI事前比較で元画像・固定読取・Excel・PDFを確認。積地は市区のみ。地図は参考説明として記録し住所を補完しない。 人最終確認待ち。難易度暫定3/16点。計測は再読込以降。</x:v>
      </x:c>
      <x:c r="AA64" s="38" t="str">
        <x:v>2026/10/08 16:40:03</x:v>
      </x:c>
      <x:c r="AB64" s="38" t="str">
        <x:v>2026/10/08 16:40:03</x:v>
      </x:c>
      <x:c r="AC64" s="38" t="str">
        <x:v>2026/10/08 16:40:03</x:v>
      </x:c>
      <x:c r="AD64" s="38" t="str">
        <x:v>0分00秒</x:v>
      </x:c>
      <x:c r="AE64" s="38" t="str">
        <x:v>2026/10/08 16:40:05</x:v>
      </x:c>
      <x:c r="AF64" s="38" t="str">
        <x:v>2026/10/08 16:40:03</x:v>
      </x:c>
      <x:c r="AG64" s="38" t="str">
        <x:v>2026/10/08 16:40:05</x:v>
      </x:c>
      <x:c r="AH64" s="38" t="str">
        <x:v>0分02秒</x:v>
      </x:c>
      <x:c r="AI64" s="38" t="n">
        <x:v>8</x:v>
      </x:c>
      <x:c r="AJ64" s="38" t="n">
        <x:v>0</x:v>
      </x:c>
      <x:c r="AK64" s="38" t="n">
        <x:v>0</x:v>
      </x:c>
      <x:c r="AL64" s="38" t="str">
        <x:v>反映済</x:v>
      </x:c>
      <x:c r="AM64" s="38" t="str">
        <x:v>固定読込A13 B0 C8 D0。人最終確認待ち。厳密な初回読込所要時間は未測定（再読込時刻から計測）。</x:v>
      </x:c>
      <x:c r="AN64" s="38" t="s">
        <x:v>226</x:v>
      </x:c>
      <x:c r="AO64" s="38" t="s">
        <x:v>389</x:v>
      </x:c>
      <x:c r="AP64" s="38" t="s">
        <x:v>228</x:v>
      </x:c>
      <x:c r="AQ64" s="38" t="s">
        <x:v>229</x:v>
      </x:c>
      <x:c r="AR64" s="38" t="s">
        <x:v>390</x:v>
      </x:c>
      <x:c r="AS64" s="38" t="s">
        <x:v>118</x:v>
      </x:c>
      <x:c r="AT64" s="38" t="s">
        <x:v>231</x:v>
      </x:c>
      <x:c r="AU64" s="38" t="s">
        <x:v>232</x:v>
      </x:c>
      <x:c r="AV64" s="38" t="s">
        <x:v>391</x:v>
      </x:c>
    </x:row>
    <x:row r="65" ht="17.649999618530273" customHeight="1">
      <x:c r="A65" s="38">
        <x:v>59</x:v>
      </x:c>
      <x:c r="B65" s="38" t="str">
        <x:v>2026/10/08</x:v>
      </x:c>
      <x:c r="C65" s="38" t="s">
        <x:v>392</x:v>
      </x:c>
      <x:c r="D65" s="38" t="str">
        <x:v>T04</x:v>
      </x:c>
      <x:c r="E65" s="38" t="str">
        <x:v>メール本文＋表形式</x:v>
      </x:c>
      <x:c r="F65" s="38" t="str">
        <x:v>広島県広島市安佐北区</x:v>
      </x:c>
      <x:c r="G65" s="38" t="str">
        <x:v>岡山県倉敷市</x:v>
      </x:c>
      <x:c r="H65" s="38" t="str">
        <x:v>低</x:v>
      </x:c>
      <x:c r="I65" s="38" t="str">
        <x:v>なし</x:v>
      </x:c>
      <x:c r="J65" s="38" t="n">
        <x:v>10</x:v>
      </x:c>
      <x:c r="K65" s="38" t="n">
        <x:v>0.04</x:v>
      </x:c>
      <x:c r="L65" s="38"/>
      <x:c r="M65" s="38"/>
      <x:c r="N65" s="38"/>
      <x:c r="O65" s="38" t="n">
        <x:v>11</x:v>
      </x:c>
      <x:c r="P65" s="38" t="n">
        <x:v>0</x:v>
      </x:c>
      <x:c r="Q65" s="38" t="n">
        <x:v>0</x:v>
      </x:c>
      <x:c r="R65" s="38" t="n">
        <x:v>0</x:v>
      </x:c>
      <x:c r="S65" s="38" t="n">
        <x:v>0</x:v>
      </x:c>
      <x:c r="T65" s="38" t="n">
        <x:v>0</x:v>
      </x:c>
      <x:c r="U65" s="38" t="str">
        <x:v>成功</x:v>
      </x:c>
      <x:c r="V65" s="38"/>
      <x:c r="W65" s="38"/>
      <x:c r="X65" s="38"/>
      <x:c r="Y65" s="38"/>
      <x:c r="Z65" s="38" t="str">
        <x:v>AI事前比較で元画像・固定読取・Excel・PDFを確認。発注担当者の現地帰属は不明につき転記しない。 人最終確認待ち。難易度暫定1/16点。計測は再読込以降。</x:v>
      </x:c>
      <x:c r="AA65" s="38" t="str">
        <x:v>2026/10/08 16:40:06</x:v>
      </x:c>
      <x:c r="AB65" s="38" t="str">
        <x:v>2026/10/08 16:40:06</x:v>
      </x:c>
      <x:c r="AC65" s="38" t="str">
        <x:v>2026/10/08 16:40:06</x:v>
      </x:c>
      <x:c r="AD65" s="38" t="str">
        <x:v>0分00秒</x:v>
      </x:c>
      <x:c r="AE65" s="38" t="str">
        <x:v>2026/10/08 16:40:09</x:v>
      </x:c>
      <x:c r="AF65" s="38" t="str">
        <x:v>2026/10/08 16:40:06</x:v>
      </x:c>
      <x:c r="AG65" s="38" t="str">
        <x:v>2026/10/08 16:40:09</x:v>
      </x:c>
      <x:c r="AH65" s="38" t="str">
        <x:v>0分02秒</x:v>
      </x:c>
      <x:c r="AI65" s="38" t="n">
        <x:v>10</x:v>
      </x:c>
      <x:c r="AJ65" s="38" t="n">
        <x:v>0</x:v>
      </x:c>
      <x:c r="AK65" s="38" t="n">
        <x:v>0</x:v>
      </x:c>
      <x:c r="AL65" s="38" t="str">
        <x:v>反映済</x:v>
      </x:c>
      <x:c r="AM65" s="38" t="str">
        <x:v>固定読込A11 B0 C10 D0。人最終確認待ち。厳密な初回読込所要時間は未測定（再読込時刻から計測）。</x:v>
      </x:c>
      <x:c r="AN65" s="38" t="s">
        <x:v>200</x:v>
      </x:c>
      <x:c r="AO65" s="38" t="s">
        <x:v>393</x:v>
      </x:c>
      <x:c r="AP65" s="38" t="s">
        <x:v>201</x:v>
      </x:c>
      <x:c r="AQ65" s="38" t="s">
        <x:v>202</x:v>
      </x:c>
      <x:c r="AR65" s="38" t="s">
        <x:v>394</x:v>
      </x:c>
      <x:c r="AS65" s="38" t="s">
        <x:v>118</x:v>
      </x:c>
      <x:c r="AT65" s="38" t="s">
        <x:v>204</x:v>
      </x:c>
      <x:c r="AU65" s="38" t="s">
        <x:v>205</x:v>
      </x:c>
      <x:c r="AV65" s="38" t="s">
        <x:v>395</x:v>
      </x:c>
    </x:row>
    <x:row r="66" ht="17.649999618530273" customHeight="1">
      <x:c r="A66" s="38">
        <x:v>60</x:v>
      </x:c>
      <x:c r="B66" s="38" t="str">
        <x:v>2026/10/08</x:v>
      </x:c>
      <x:c r="C66" s="38" t="s">
        <x:v>396</x:v>
      </x:c>
      <x:c r="D66" s="38" t="str">
        <x:v>T11</x:v>
      </x:c>
      <x:c r="E66" s="38" t="str">
        <x:v>経年汚れのある印字帳票</x:v>
      </x:c>
      <x:c r="F66" s="38" t="str">
        <x:v>北海道札幌市東区</x:v>
      </x:c>
      <x:c r="G66" s="38" t="str">
        <x:v>北海道苫小牧市</x:v>
      </x:c>
      <x:c r="H66" s="38" t="str">
        <x:v>低</x:v>
      </x:c>
      <x:c r="I66" s="38" t="str">
        <x:v>なし</x:v>
      </x:c>
      <x:c r="J66" s="38" t="n">
        <x:v>10</x:v>
      </x:c>
      <x:c r="K66" s="38" t="n">
        <x:v>0.03</x:v>
      </x:c>
      <x:c r="L66" s="38"/>
      <x:c r="M66" s="38"/>
      <x:c r="N66" s="38"/>
      <x:c r="O66" s="38" t="n">
        <x:v>11</x:v>
      </x:c>
      <x:c r="P66" s="38" t="n">
        <x:v>0</x:v>
      </x:c>
      <x:c r="Q66" s="38" t="n">
        <x:v>0</x:v>
      </x:c>
      <x:c r="R66" s="38" t="n">
        <x:v>0</x:v>
      </x:c>
      <x:c r="S66" s="38" t="n">
        <x:v>0</x:v>
      </x:c>
      <x:c r="T66" s="38" t="n">
        <x:v>0</x:v>
      </x:c>
      <x:c r="U66" s="38" t="str">
        <x:v>成功</x:v>
      </x:c>
      <x:c r="V66" s="38"/>
      <x:c r="W66" s="38"/>
      <x:c r="X66" s="38"/>
      <x:c r="Y66" s="38"/>
      <x:c r="Z66" s="38" t="str">
        <x:v>AI事前比較で元画像・固定読取・Excel・PDFを確認。元画像見出しD040を現在ケースIDとは解釈しない。 人最終確認待ち。難易度暫定2/16点。計測は再読込以降。</x:v>
      </x:c>
      <x:c r="AA66" s="38" t="str">
        <x:v>2026/10/08 16:40:10</x:v>
      </x:c>
      <x:c r="AB66" s="38" t="str">
        <x:v>2026/10/08 16:40:10</x:v>
      </x:c>
      <x:c r="AC66" s="38" t="str">
        <x:v>2026/10/08 16:40:10</x:v>
      </x:c>
      <x:c r="AD66" s="38" t="str">
        <x:v>0分00秒</x:v>
      </x:c>
      <x:c r="AE66" s="38" t="str">
        <x:v>2026/10/08 16:40:13</x:v>
      </x:c>
      <x:c r="AF66" s="38" t="str">
        <x:v>2026/10/08 16:40:10</x:v>
      </x:c>
      <x:c r="AG66" s="38" t="str">
        <x:v>2026/10/08 16:40:13</x:v>
      </x:c>
      <x:c r="AH66" s="38" t="str">
        <x:v>0分02秒</x:v>
      </x:c>
      <x:c r="AI66" s="38" t="n">
        <x:v>10</x:v>
      </x:c>
      <x:c r="AJ66" s="38" t="n">
        <x:v>0</x:v>
      </x:c>
      <x:c r="AK66" s="38" t="n">
        <x:v>0</x:v>
      </x:c>
      <x:c r="AL66" s="38" t="str">
        <x:v>反映済</x:v>
      </x:c>
      <x:c r="AM66" s="38" t="str">
        <x:v>固定読込A11 B0 C10 D0。人最終確認待ち。厳密な初回読込所要時間は未測定（再読込時刻から計測）。</x:v>
      </x:c>
      <x:c r="AN66" s="38" t="s">
        <x:v>318</x:v>
      </x:c>
      <x:c r="AO66" s="38" t="s">
        <x:v>397</x:v>
      </x:c>
      <x:c r="AP66" s="38" t="s">
        <x:v>320</x:v>
      </x:c>
      <x:c r="AQ66" s="38" t="s">
        <x:v>321</x:v>
      </x:c>
      <x:c r="AR66" s="38" t="s">
        <x:v>398</x:v>
      </x:c>
      <x:c r="AS66" s="38" t="s">
        <x:v>118</x:v>
      </x:c>
      <x:c r="AT66" s="38" t="s">
        <x:v>323</x:v>
      </x:c>
      <x:c r="AU66" s="38" t="s">
        <x:v>324</x:v>
      </x:c>
      <x:c r="AV66" s="38" t="s">
        <x:v>399</x:v>
      </x:c>
    </x:row>
    <x:row r="67" ht="17.649999618530273" customHeight="1">
      <x:c r="A67" s="38" t="n">
        <x:v>61</x:v>
      </x:c>
      <x:c r="B67" s="38" t="str">
        <x:v>2026/10/08</x:v>
      </x:c>
      <x:c r="C67" s="38" t="str">
        <x:v>D061</x:v>
      </x:c>
      <x:c r="D67" s="38" t="str">
        <x:v>T01</x:v>
      </x:c>
      <x:c r="E67" s="38" t="str">
        <x:v>小型定型印字帳票</x:v>
      </x:c>
      <x:c r="F67" s="38" t="str">
        <x:v>埼玉県川口市</x:v>
      </x:c>
      <x:c r="G67" s="38" t="str">
        <x:v>神奈川県横浜市</x:v>
      </x:c>
      <x:c r="H67" s="38" t="str">
        <x:v>低</x:v>
      </x:c>
      <x:c r="I67" s="38" t="str">
        <x:v>なし</x:v>
      </x:c>
      <x:c r="J67" s="38" t="n">
        <x:v>8</x:v>
      </x:c>
      <x:c r="K67" s="38" t="n">
        <x:v>0.01</x:v>
      </x:c>
      <x:c r="L67" s="38"/>
      <x:c r="M67" s="38"/>
      <x:c r="N67" s="38"/>
      <x:c r="O67" s="38" t="n">
        <x:v>9</x:v>
      </x:c>
      <x:c r="P67" s="38" t="n">
        <x:v>0</x:v>
      </x:c>
      <x:c r="Q67" s="38" t="n">
        <x:v>0</x:v>
      </x:c>
      <x:c r="R67" s="38" t="n">
        <x:v>0</x:v>
      </x:c>
      <x:c r="S67" s="38" t="n">
        <x:v>0</x:v>
      </x:c>
      <x:c r="T67" s="38" t="n">
        <x:v>0</x:v>
      </x:c>
      <x:c r="U67" s="38" t="str">
        <x:v>成功</x:v>
      </x:c>
      <x:c r="V67" s="38"/>
      <x:c r="W67" s="38"/>
      <x:c r="X67" s="38"/>
      <x:c r="Y67" s="38"/>
      <x:c r="Z67" s="38" t="str">
        <x:v>AI事前比較で固定読取・Excel・PDFを確認。希望日時の年は原本に記載なし。8:00～の条件を維持。 人最終確認待ち。難易度暫定2/16点。</x:v>
      </x:c>
      <x:c r="AA67" s="38" t="str">
        <x:v>2026/10/08 17:11:30</x:v>
      </x:c>
      <x:c r="AB67" s="38" t="str">
        <x:v>2026/10/08 17:11:30</x:v>
      </x:c>
      <x:c r="AC67" s="38" t="str">
        <x:v>2026/10/08 17:11:30</x:v>
      </x:c>
      <x:c r="AD67" s="38" t="str">
        <x:v>0分00秒</x:v>
      </x:c>
      <x:c r="AE67" s="38" t="str">
        <x:v>2026/10/08 17:11:31</x:v>
      </x:c>
      <x:c r="AF67" s="38" t="str">
        <x:v>2026/10/08 17:11:30</x:v>
      </x:c>
      <x:c r="AG67" s="38" t="str">
        <x:v>2026/10/08 17:11:31</x:v>
      </x:c>
      <x:c r="AH67" s="38" t="str">
        <x:v>0分00秒</x:v>
      </x:c>
      <x:c r="AI67" s="38" t="n">
        <x:v>12</x:v>
      </x:c>
      <x:c r="AJ67" s="38" t="n">
        <x:v>0</x:v>
      </x:c>
      <x:c r="AK67" s="38" t="n">
        <x:v>0</x:v>
      </x:c>
      <x:c r="AL67" s="38" t="str">
        <x:v>反映済</x:v>
      </x:c>
      <x:c r="AM67" s="38" t="str">
        <x:v>固定読取A9 B0 C12 D0。人最終確認待ち。</x:v>
      </x:c>
      <x:c r="AN67" s="38" t="s">
        <x:v>113</x:v>
      </x:c>
      <x:c r="AO67" s="38" t="s">
        <x:v>235</x:v>
      </x:c>
      <x:c r="AP67" s="38" t="s">
        <x:v>115</x:v>
      </x:c>
      <x:c r="AQ67" s="38" t="s">
        <x:v>116</x:v>
      </x:c>
      <x:c r="AR67" s="38" t="s">
        <x:v>400</x:v>
      </x:c>
      <x:c r="AS67" s="38" t="s">
        <x:v>118</x:v>
      </x:c>
      <x:c r="AT67" s="38" t="s">
        <x:v>119</x:v>
      </x:c>
      <x:c r="AU67" s="38" t="s">
        <x:v>120</x:v>
      </x:c>
      <x:c r="AV67" s="38" t="s">
        <x:v>401</x:v>
      </x:c>
    </x:row>
    <x:row r="68" ht="17.649999618530273" customHeight="1">
      <x:c r="A68" s="38" t="n">
        <x:v>62</x:v>
      </x:c>
      <x:c r="B68" s="38" t="str">
        <x:v>2026/10/08</x:v>
      </x:c>
      <x:c r="C68" s="38" t="str">
        <x:v>D062</x:v>
      </x:c>
      <x:c r="D68" s="38" t="str">
        <x:v>T02</x:v>
      </x:c>
      <x:c r="E68" s="38" t="str">
        <x:v>劣化FAX</x:v>
      </x:c>
      <x:c r="F68" s="38" t="str">
        <x:v>名古屋市港区</x:v>
      </x:c>
      <x:c r="G68" s="38" t="str">
        <x:v>大阪府堺市西区</x:v>
      </x:c>
      <x:c r="H68" s="38" t="str">
        <x:v>低</x:v>
      </x:c>
      <x:c r="I68" s="38" t="str">
        <x:v>なし</x:v>
      </x:c>
      <x:c r="J68" s="38" t="n">
        <x:v>8</x:v>
      </x:c>
      <x:c r="K68" s="38" t="n">
        <x:v>0</x:v>
      </x:c>
      <x:c r="L68" s="38"/>
      <x:c r="M68" s="38"/>
      <x:c r="N68" s="38"/>
      <x:c r="O68" s="38" t="n">
        <x:v>9</x:v>
      </x:c>
      <x:c r="P68" s="38" t="n">
        <x:v>0</x:v>
      </x:c>
      <x:c r="Q68" s="38" t="n">
        <x:v>0</x:v>
      </x:c>
      <x:c r="R68" s="38" t="n">
        <x:v>0</x:v>
      </x:c>
      <x:c r="S68" s="38" t="n">
        <x:v>0</x:v>
      </x:c>
      <x:c r="T68" s="38" t="n">
        <x:v>0</x:v>
      </x:c>
      <x:c r="U68" s="38" t="str">
        <x:v>成功</x:v>
      </x:c>
      <x:c r="V68" s="38"/>
      <x:c r="W68" s="38"/>
      <x:c r="X68" s="38"/>
      <x:c r="Y68" s="38"/>
      <x:c r="Z68" s="38" t="str">
        <x:v>AI事前比較で固定読取・Excel・PDFを確認。FAX劣化。積地の都道府県は住所に明記されず、エリアは市区のみ。 人最終確認待ち。難易度暫定4/16点。 最終監査で日時帰属を訂正。</x:v>
      </x:c>
      <x:c r="AA68" s="38" t="str">
        <x:v>2026/10/08 17:11:31</x:v>
      </x:c>
      <x:c r="AB68" s="38" t="str">
        <x:v>2026/10/08 17:11:31</x:v>
      </x:c>
      <x:c r="AC68" s="38" t="str">
        <x:v>2026/10/08 17:11:31</x:v>
      </x:c>
      <x:c r="AD68" s="38" t="str">
        <x:v>0分00秒</x:v>
      </x:c>
      <x:c r="AE68" s="38" t="str">
        <x:v>2026/10/08 17:11:32</x:v>
      </x:c>
      <x:c r="AF68" s="38" t="str">
        <x:v>2026/10/08 17:11:31</x:v>
      </x:c>
      <x:c r="AG68" s="38" t="str">
        <x:v>2026/10/08 17:11:32</x:v>
      </x:c>
      <x:c r="AH68" s="38" t="str">
        <x:v>0分00秒</x:v>
      </x:c>
      <x:c r="AI68" s="38" t="n">
        <x:v>12</x:v>
      </x:c>
      <x:c r="AJ68" s="38" t="n">
        <x:v>0</x:v>
      </x:c>
      <x:c r="AK68" s="38" t="n">
        <x:v>0</x:v>
      </x:c>
      <x:c r="AL68" s="38" t="str">
        <x:v>反映済</x:v>
      </x:c>
      <x:c r="AM68" s="38" t="str">
        <x:v>固定読取A9 B0 C12 D0。最終監査で日時帰属を調整。人確認待ち。</x:v>
      </x:c>
      <x:c r="AN68" s="38" t="s">
        <x:v>123</x:v>
      </x:c>
      <x:c r="AO68" s="38" t="s">
        <x:v>302</x:v>
      </x:c>
      <x:c r="AP68" s="38" t="s">
        <x:v>125</x:v>
      </x:c>
      <x:c r="AQ68" s="38" t="s">
        <x:v>126</x:v>
      </x:c>
      <x:c r="AR68" s="38" t="s">
        <x:v>402</x:v>
      </x:c>
      <x:c r="AS68" s="38" t="s">
        <x:v>118</x:v>
      </x:c>
      <x:c r="AT68" s="38" t="s">
        <x:v>128</x:v>
      </x:c>
      <x:c r="AU68" s="38" t="s">
        <x:v>129</x:v>
      </x:c>
      <x:c r="AV68" s="38" t="s">
        <x:v>403</x:v>
      </x:c>
    </x:row>
    <x:row r="69" ht="17.649999618530273" customHeight="1">
      <x:c r="A69" s="38" t="n">
        <x:v>63</x:v>
      </x:c>
      <x:c r="B69" s="38" t="str">
        <x:v>2026/10/08</x:v>
      </x:c>
      <x:c r="C69" s="38" t="str">
        <x:v>D063</x:v>
      </x:c>
      <x:c r="D69" s="38" t="str">
        <x:v>T03</x:v>
      </x:c>
      <x:c r="E69" s="38" t="str">
        <x:v>手書きメモ</x:v>
      </x:c>
      <x:c r="F69" s="38" t="str">
        <x:v>三重県四日市市</x:v>
      </x:c>
      <x:c r="G69" s="38" t="str">
        <x:v>愛知県豊橋市</x:v>
      </x:c>
      <x:c r="H69" s="38" t="str">
        <x:v>低</x:v>
      </x:c>
      <x:c r="I69" s="38" t="str">
        <x:v>なし</x:v>
      </x:c>
      <x:c r="J69" s="38" t="n">
        <x:v>7</x:v>
      </x:c>
      <x:c r="K69" s="38" t="n">
        <x:v>0</x:v>
      </x:c>
      <x:c r="L69" s="38"/>
      <x:c r="M69" s="38"/>
      <x:c r="N69" s="38"/>
      <x:c r="O69" s="38" t="n">
        <x:v>8</x:v>
      </x:c>
      <x:c r="P69" s="38" t="n">
        <x:v>0</x:v>
      </x:c>
      <x:c r="Q69" s="38" t="n">
        <x:v>0</x:v>
      </x:c>
      <x:c r="R69" s="38" t="n">
        <x:v>0</x:v>
      </x:c>
      <x:c r="S69" s="38" t="n">
        <x:v>0</x:v>
      </x:c>
      <x:c r="T69" s="38" t="n">
        <x:v>0</x:v>
      </x:c>
      <x:c r="U69" s="38" t="str">
        <x:v>成功</x:v>
      </x:c>
      <x:c r="V69" s="38"/>
      <x:c r="W69" s="38"/>
      <x:c r="X69" s="38"/>
      <x:c r="Y69" s="38"/>
      <x:c r="Z69" s="38" t="str">
        <x:v>AI事前比較で固定読取・Excel・PDFを確認。積日と卸日の対応は一方しか示されていないため卸日を補完しない。 人最終確認待ち。難易度暫定3/16点。</x:v>
      </x:c>
      <x:c r="AA69" s="38" t="str">
        <x:v>2026/10/08 17:11:32</x:v>
      </x:c>
      <x:c r="AB69" s="38" t="str">
        <x:v>2026/10/08 17:11:32</x:v>
      </x:c>
      <x:c r="AC69" s="38" t="str">
        <x:v>2026/10/08 17:11:32</x:v>
      </x:c>
      <x:c r="AD69" s="38" t="str">
        <x:v>0分00秒</x:v>
      </x:c>
      <x:c r="AE69" s="38" t="str">
        <x:v>2026/10/08 17:11:32</x:v>
      </x:c>
      <x:c r="AF69" s="38" t="str">
        <x:v>2026/10/08 17:11:32</x:v>
      </x:c>
      <x:c r="AG69" s="38" t="str">
        <x:v>2026/10/08 17:11:32</x:v>
      </x:c>
      <x:c r="AH69" s="38" t="str">
        <x:v>0分00秒</x:v>
      </x:c>
      <x:c r="AI69" s="38" t="n">
        <x:v>13</x:v>
      </x:c>
      <x:c r="AJ69" s="38" t="n">
        <x:v>0</x:v>
      </x:c>
      <x:c r="AK69" s="38" t="n">
        <x:v>0</x:v>
      </x:c>
      <x:c r="AL69" s="38" t="str">
        <x:v>反映済</x:v>
      </x:c>
      <x:c r="AM69" s="38" t="str">
        <x:v>固定読取A8 B0 C13 D0。人最終確認待ち。</x:v>
      </x:c>
      <x:c r="AN69" s="38" t="s">
        <x:v>132</x:v>
      </x:c>
      <x:c r="AO69" s="38" t="s">
        <x:v>281</x:v>
      </x:c>
      <x:c r="AP69" s="38" t="s">
        <x:v>134</x:v>
      </x:c>
      <x:c r="AQ69" s="38" t="s">
        <x:v>135</x:v>
      </x:c>
      <x:c r="AR69" s="38" t="s">
        <x:v>404</x:v>
      </x:c>
      <x:c r="AS69" s="38" t="s">
        <x:v>118</x:v>
      </x:c>
      <x:c r="AT69" s="38" t="s">
        <x:v>137</x:v>
      </x:c>
      <x:c r="AU69" s="38" t="s">
        <x:v>138</x:v>
      </x:c>
      <x:c r="AV69" s="38" t="s">
        <x:v>405</x:v>
      </x:c>
    </x:row>
    <x:row r="70" ht="17.649999618530273" customHeight="1">
      <x:c r="A70" s="38" t="n">
        <x:v>64</x:v>
      </x:c>
      <x:c r="B70" s="38" t="str">
        <x:v>2026/10/08</x:v>
      </x:c>
      <x:c r="C70" s="38" t="str">
        <x:v>D064</x:v>
      </x:c>
      <x:c r="D70" s="38" t="str">
        <x:v>T12</x:v>
      </x:c>
      <x:c r="E70" s="38" t="str">
        <x:v>メール本文（冷凍・温度指定）</x:v>
      </x:c>
      <x:c r="F70" s="38" t="str">
        <x:v>千葉県船橋市</x:v>
      </x:c>
      <x:c r="G70" s="38" t="str">
        <x:v>東京都江東区</x:v>
      </x:c>
      <x:c r="H70" s="38" t="str">
        <x:v>低</x:v>
      </x:c>
      <x:c r="I70" s="38" t="str">
        <x:v>なし</x:v>
      </x:c>
      <x:c r="J70" s="38" t="n">
        <x:v>7</x:v>
      </x:c>
      <x:c r="K70" s="38" t="n">
        <x:v>0</x:v>
      </x:c>
      <x:c r="L70" s="38"/>
      <x:c r="M70" s="38"/>
      <x:c r="N70" s="38"/>
      <x:c r="O70" s="38" t="n">
        <x:v>8</x:v>
      </x:c>
      <x:c r="P70" s="38" t="n">
        <x:v>0</x:v>
      </x:c>
      <x:c r="Q70" s="38" t="n">
        <x:v>0</x:v>
      </x:c>
      <x:c r="R70" s="38" t="n">
        <x:v>0</x:v>
      </x:c>
      <x:c r="S70" s="38" t="n">
        <x:v>0</x:v>
      </x:c>
      <x:c r="T70" s="38" t="n">
        <x:v>0</x:v>
      </x:c>
      <x:c r="U70" s="38" t="str">
        <x:v>成功</x:v>
      </x:c>
      <x:c r="V70" s="38"/>
      <x:c r="W70" s="38"/>
      <x:c r="X70" s="38"/>
      <x:c r="Y70" s="38"/>
      <x:c r="Z70" s="38" t="str">
        <x:v>AI事前比較で固定読取・Excel・PDFを確認。送信者アドレス・署名は荷主情報として出力禁止。AM指定を時刻に変換しない。 人最終確認待ち。難易度暫定4/16点。</x:v>
      </x:c>
      <x:c r="AA70" s="38" t="str">
        <x:v>2026/10/08 17:11:33</x:v>
      </x:c>
      <x:c r="AB70" s="38" t="str">
        <x:v>2026/10/08 17:11:33</x:v>
      </x:c>
      <x:c r="AC70" s="38" t="str">
        <x:v>2026/10/08 17:11:33</x:v>
      </x:c>
      <x:c r="AD70" s="38" t="str">
        <x:v>0分00秒</x:v>
      </x:c>
      <x:c r="AE70" s="38" t="str">
        <x:v>2026/10/08 17:11:33</x:v>
      </x:c>
      <x:c r="AF70" s="38" t="str">
        <x:v>2026/10/08 17:11:33</x:v>
      </x:c>
      <x:c r="AG70" s="38" t="str">
        <x:v>2026/10/08 17:11:33</x:v>
      </x:c>
      <x:c r="AH70" s="38" t="str">
        <x:v>0分00秒</x:v>
      </x:c>
      <x:c r="AI70" s="38" t="n">
        <x:v>13</x:v>
      </x:c>
      <x:c r="AJ70" s="38" t="n">
        <x:v>0</x:v>
      </x:c>
      <x:c r="AK70" s="38" t="n">
        <x:v>0</x:v>
      </x:c>
      <x:c r="AL70" s="38" t="str">
        <x:v>反映済</x:v>
      </x:c>
      <x:c r="AM70" s="38" t="str">
        <x:v>固定読取A8 B0 C13 D0。人最終確認待ち。</x:v>
      </x:c>
      <x:c r="AN70" s="38" t="s">
        <x:v>373</x:v>
      </x:c>
      <x:c r="AO70" s="38" t="s">
        <x:v>142</x:v>
      </x:c>
      <x:c r="AP70" s="38" t="s">
        <x:v>375</x:v>
      </x:c>
      <x:c r="AQ70" s="38" t="s">
        <x:v>376</x:v>
      </x:c>
      <x:c r="AR70" s="38" t="s">
        <x:v>406</x:v>
      </x:c>
      <x:c r="AS70" s="38" t="s">
        <x:v>118</x:v>
      </x:c>
      <x:c r="AT70" s="38" t="s">
        <x:v>378</x:v>
      </x:c>
      <x:c r="AU70" s="38" t="s">
        <x:v>379</x:v>
      </x:c>
      <x:c r="AV70" s="38" t="s">
        <x:v>407</x:v>
      </x:c>
    </x:row>
    <x:row r="71" ht="17.649999618530273" customHeight="1">
      <x:c r="A71" s="38" t="n">
        <x:v>65</x:v>
      </x:c>
      <x:c r="B71" s="38" t="str">
        <x:v>2026/10/08</x:v>
      </x:c>
      <x:c r="C71" s="38" t="str">
        <x:v>D065</x:v>
      </x:c>
      <x:c r="D71" s="38" t="str">
        <x:v>T11</x:v>
      </x:c>
      <x:c r="E71" s="38" t="str">
        <x:v>汚損した手書き帳票</x:v>
      </x:c>
      <x:c r="F71" s="38" t="str">
        <x:v>群馬県太田市</x:v>
      </x:c>
      <x:c r="G71" s="38" t="str">
        <x:v>埼玉県さいたま市岩槻区</x:v>
      </x:c>
      <x:c r="H71" s="38" t="str">
        <x:v>低</x:v>
      </x:c>
      <x:c r="I71" s="38" t="str">
        <x:v>なし</x:v>
      </x:c>
      <x:c r="J71" s="38" t="n">
        <x:v>8</x:v>
      </x:c>
      <x:c r="K71" s="38" t="n">
        <x:v>0</x:v>
      </x:c>
      <x:c r="L71" s="38"/>
      <x:c r="M71" s="38"/>
      <x:c r="N71" s="38" t="str"/>
      <x:c r="O71" s="38" t="n">
        <x:v>9</x:v>
      </x:c>
      <x:c r="P71" s="38" t="n">
        <x:v>0</x:v>
      </x:c>
      <x:c r="Q71" s="38" t="n">
        <x:v>0</x:v>
      </x:c>
      <x:c r="R71" s="38" t="n">
        <x:v>0</x:v>
      </x:c>
      <x:c r="S71" s="38" t="n">
        <x:v>0</x:v>
      </x:c>
      <x:c r="T71" s="38" t="n">
        <x:v>0</x:v>
      </x:c>
      <x:c r="U71" s="38" t="str">
        <x:v>成功</x:v>
      </x:c>
      <x:c r="V71" s="38"/>
      <x:c r="W71" s="38"/>
      <x:c r="X71" s="38"/>
      <x:c r="Y71" s="38"/>
      <x:c r="Z71" s="38" t="str">
        <x:v>AI事前比較で固定読取・Excel・PDFを確認。水濡れ原本。明確な手書き値以外は補完しない。 人最終確認待ち。難易度暫定5/16点。</x:v>
      </x:c>
      <x:c r="AA71" s="38" t="str">
        <x:v>2026/10/08 17:11:34</x:v>
      </x:c>
      <x:c r="AB71" s="38" t="str">
        <x:v>2026/10/08 17:11:34</x:v>
      </x:c>
      <x:c r="AC71" s="38" t="str">
        <x:v>2026/10/08 17:11:34</x:v>
      </x:c>
      <x:c r="AD71" s="38" t="str">
        <x:v>0分00秒</x:v>
      </x:c>
      <x:c r="AE71" s="38" t="str">
        <x:v>2026/10/08 17:11:34</x:v>
      </x:c>
      <x:c r="AF71" s="38" t="str">
        <x:v>2026/10/08 17:11:34</x:v>
      </x:c>
      <x:c r="AG71" s="38" t="str">
        <x:v>2026/10/08 17:11:34</x:v>
      </x:c>
      <x:c r="AH71" s="38" t="str">
        <x:v>0分00秒</x:v>
      </x:c>
      <x:c r="AI71" s="38" t="n">
        <x:v>12</x:v>
      </x:c>
      <x:c r="AJ71" s="38" t="n">
        <x:v>0</x:v>
      </x:c>
      <x:c r="AK71" s="38" t="n">
        <x:v>0</x:v>
      </x:c>
      <x:c r="AL71" s="38" t="str">
        <x:v>反映済</x:v>
      </x:c>
      <x:c r="AM71" s="38" t="str">
        <x:v>固定読取A9 B0 C12 D0。人最終確認待ち。</x:v>
      </x:c>
      <x:c r="AN71" s="38" t="s">
        <x:v>318</x:v>
      </x:c>
      <x:c r="AO71" s="38" t="s">
        <x:v>408</x:v>
      </x:c>
      <x:c r="AP71" s="38" t="s">
        <x:v>320</x:v>
      </x:c>
      <x:c r="AQ71" s="38" t="s">
        <x:v>321</x:v>
      </x:c>
      <x:c r="AR71" s="38" t="s">
        <x:v>409</x:v>
      </x:c>
      <x:c r="AS71" s="38" t="s">
        <x:v>118</x:v>
      </x:c>
      <x:c r="AT71" s="38" t="s">
        <x:v>323</x:v>
      </x:c>
      <x:c r="AU71" s="38" t="s">
        <x:v>324</x:v>
      </x:c>
      <x:c r="AV71" s="38" t="s">
        <x:v>410</x:v>
      </x:c>
    </x:row>
    <x:row r="72" ht="17.649999618530273" customHeight="1">
      <x:c r="A72" s="38" t="n">
        <x:v>66</x:v>
      </x:c>
      <x:c r="B72" s="38" t="str">
        <x:v>2026/10/08</x:v>
      </x:c>
      <x:c r="C72" s="38" t="str">
        <x:v>D066</x:v>
      </x:c>
      <x:c r="D72" s="38" t="str">
        <x:v>T12</x:v>
      </x:c>
      <x:c r="E72" s="38" t="str">
        <x:v>小型定型印字帳票（精密機器）</x:v>
      </x:c>
      <x:c r="F72" s="38" t="str">
        <x:v>静岡県富士市</x:v>
      </x:c>
      <x:c r="G72" s="38" t="str">
        <x:v>山梨県甲府市</x:v>
      </x:c>
      <x:c r="H72" s="38" t="str">
        <x:v>低</x:v>
      </x:c>
      <x:c r="I72" s="38" t="str">
        <x:v>なし</x:v>
      </x:c>
      <x:c r="J72" s="38" t="n">
        <x:v>8</x:v>
      </x:c>
      <x:c r="K72" s="38" t="n">
        <x:v>0</x:v>
      </x:c>
      <x:c r="L72" s="38"/>
      <x:c r="M72" s="38"/>
      <x:c r="N72" s="38"/>
      <x:c r="O72" s="38" t="n">
        <x:v>9</x:v>
      </x:c>
      <x:c r="P72" s="38" t="n">
        <x:v>0</x:v>
      </x:c>
      <x:c r="Q72" s="38" t="n">
        <x:v>0</x:v>
      </x:c>
      <x:c r="R72" s="38" t="n">
        <x:v>0</x:v>
      </x:c>
      <x:c r="S72" s="38" t="n">
        <x:v>0</x:v>
      </x:c>
      <x:c r="T72" s="38" t="n">
        <x:v>0</x:v>
      </x:c>
      <x:c r="U72" s="38" t="str">
        <x:v>成功</x:v>
      </x:c>
      <x:c r="V72" s="38"/>
      <x:c r="W72" s="38"/>
      <x:c r="X72" s="38"/>
      <x:c r="Y72" s="38"/>
      <x:c r="Z72" s="38" t="str">
        <x:v>AI事前比較で固定読取・Excel・PDFを確認。会社印の社名は荷主見出しであり傭車向け書面には記載しない。 人最終確認待ち。難易度暫定3/16点。</x:v>
      </x:c>
      <x:c r="AA72" s="38" t="str">
        <x:v>2026/10/08 17:11:34</x:v>
      </x:c>
      <x:c r="AB72" s="38" t="str">
        <x:v>2026/10/08 17:11:34</x:v>
      </x:c>
      <x:c r="AC72" s="38" t="str">
        <x:v>2026/10/08 17:11:34</x:v>
      </x:c>
      <x:c r="AD72" s="38" t="str">
        <x:v>0分00秒</x:v>
      </x:c>
      <x:c r="AE72" s="38" t="str">
        <x:v>2026/10/08 17:11:34</x:v>
      </x:c>
      <x:c r="AF72" s="38" t="str">
        <x:v>2026/10/08 17:11:34</x:v>
      </x:c>
      <x:c r="AG72" s="38" t="str">
        <x:v>2026/10/08 17:11:34</x:v>
      </x:c>
      <x:c r="AH72" s="38" t="str">
        <x:v>0分00秒</x:v>
      </x:c>
      <x:c r="AI72" s="38" t="n">
        <x:v>12</x:v>
      </x:c>
      <x:c r="AJ72" s="38" t="n">
        <x:v>0</x:v>
      </x:c>
      <x:c r="AK72" s="38" t="n">
        <x:v>0</x:v>
      </x:c>
      <x:c r="AL72" s="38" t="str">
        <x:v>反映済</x:v>
      </x:c>
      <x:c r="AM72" s="38" t="str">
        <x:v>固定読取A9 B0 C12 D0。人最終確認待ち。</x:v>
      </x:c>
      <x:c r="AN72" s="38" t="s">
        <x:v>373</x:v>
      </x:c>
      <x:c r="AO72" s="38" t="s">
        <x:v>298</x:v>
      </x:c>
      <x:c r="AP72" s="38" t="s">
        <x:v>375</x:v>
      </x:c>
      <x:c r="AQ72" s="38" t="s">
        <x:v>376</x:v>
      </x:c>
      <x:c r="AR72" s="38" t="s">
        <x:v>411</x:v>
      </x:c>
      <x:c r="AS72" s="38" t="s">
        <x:v>118</x:v>
      </x:c>
      <x:c r="AT72" s="38" t="s">
        <x:v>378</x:v>
      </x:c>
      <x:c r="AU72" s="38" t="s">
        <x:v>379</x:v>
      </x:c>
      <x:c r="AV72" s="38" t="s">
        <x:v>412</x:v>
      </x:c>
    </x:row>
    <x:row r="73" ht="17.649999618530273" customHeight="1">
      <x:c r="A73" s="38" t="n">
        <x:v>67</x:v>
      </x:c>
      <x:c r="B73" s="38" t="str">
        <x:v>2026/10/08</x:v>
      </x:c>
      <x:c r="C73" s="38" t="str">
        <x:v>D067</x:v>
      </x:c>
      <x:c r="D73" s="38" t="str">
        <x:v>T03</x:v>
      </x:c>
      <x:c r="E73" s="38" t="str">
        <x:v>手書きメモ＋付箋</x:v>
      </x:c>
      <x:c r="F73" s="38" t="str">
        <x:v>大阪府大阪市住之江区</x:v>
      </x:c>
      <x:c r="G73" s="38" t="str">
        <x:v>広島県福山市</x:v>
      </x:c>
      <x:c r="H73" s="38" t="str">
        <x:v>低</x:v>
      </x:c>
      <x:c r="I73" s="38" t="str">
        <x:v>なし</x:v>
      </x:c>
      <x:c r="J73" s="38" t="n">
        <x:v>7</x:v>
      </x:c>
      <x:c r="K73" s="38" t="n">
        <x:v>0</x:v>
      </x:c>
      <x:c r="L73" s="38"/>
      <x:c r="M73" s="38"/>
      <x:c r="N73" s="38"/>
      <x:c r="O73" s="38" t="n">
        <x:v>8</x:v>
      </x:c>
      <x:c r="P73" s="38" t="n">
        <x:v>0</x:v>
      </x:c>
      <x:c r="Q73" s="38" t="n">
        <x:v>0</x:v>
      </x:c>
      <x:c r="R73" s="38" t="n">
        <x:v>0</x:v>
      </x:c>
      <x:c r="S73" s="38" t="n">
        <x:v>0</x:v>
      </x:c>
      <x:c r="T73" s="38" t="n">
        <x:v>0</x:v>
      </x:c>
      <x:c r="U73" s="38" t="str">
        <x:v>成功</x:v>
      </x:c>
      <x:c r="V73" s="38"/>
      <x:c r="W73" s="38"/>
      <x:c r="X73" s="38"/>
      <x:c r="Y73" s="38"/>
      <x:c r="Z73" s="38" t="str">
        <x:v>AI事前比較で固定読取・Excel・PDFを確認。付箋「至急対応」も注意事項として保持。 人最終確認待ち。難易度暫定5/16点。 最終監査で日時帰属を訂正。</x:v>
      </x:c>
      <x:c r="AA73" s="38" t="str">
        <x:v>2026/10/08 17:11:35</x:v>
      </x:c>
      <x:c r="AB73" s="38" t="str">
        <x:v>2026/10/08 17:11:35</x:v>
      </x:c>
      <x:c r="AC73" s="38" t="str">
        <x:v>2026/10/08 17:11:35</x:v>
      </x:c>
      <x:c r="AD73" s="38" t="str">
        <x:v>0分00秒</x:v>
      </x:c>
      <x:c r="AE73" s="38" t="str">
        <x:v>2026/10/08 17:11:35</x:v>
      </x:c>
      <x:c r="AF73" s="38" t="str">
        <x:v>2026/10/08 17:11:35</x:v>
      </x:c>
      <x:c r="AG73" s="38" t="str">
        <x:v>2026/10/08 17:11:35</x:v>
      </x:c>
      <x:c r="AH73" s="38" t="str">
        <x:v>0分00秒</x:v>
      </x:c>
      <x:c r="AI73" s="38" t="n">
        <x:v>13</x:v>
      </x:c>
      <x:c r="AJ73" s="38" t="n">
        <x:v>0</x:v>
      </x:c>
      <x:c r="AK73" s="38" t="n">
        <x:v>0</x:v>
      </x:c>
      <x:c r="AL73" s="38" t="str">
        <x:v>反映済</x:v>
      </x:c>
      <x:c r="AM73" s="38" t="str">
        <x:v>固定読取A8 B0 C13 D0。最終監査で日時帰属を調整。人確認待ち。</x:v>
      </x:c>
      <x:c r="AN73" s="38" t="s">
        <x:v>132</x:v>
      </x:c>
      <x:c r="AO73" s="38" t="s">
        <x:v>281</x:v>
      </x:c>
      <x:c r="AP73" s="38" t="s">
        <x:v>134</x:v>
      </x:c>
      <x:c r="AQ73" s="38" t="s">
        <x:v>135</x:v>
      </x:c>
      <x:c r="AR73" s="38" t="s">
        <x:v>413</x:v>
      </x:c>
      <x:c r="AS73" s="38" t="s">
        <x:v>118</x:v>
      </x:c>
      <x:c r="AT73" s="38" t="s">
        <x:v>137</x:v>
      </x:c>
      <x:c r="AU73" s="38" t="s">
        <x:v>138</x:v>
      </x:c>
      <x:c r="AV73" s="38" t="s">
        <x:v>414</x:v>
      </x:c>
    </x:row>
    <x:row r="74" ht="17.649999618530273" customHeight="1">
      <x:c r="A74" s="38" t="n">
        <x:v>68</x:v>
      </x:c>
      <x:c r="B74" s="38" t="str">
        <x:v>2026/10/08</x:v>
      </x:c>
      <x:c r="C74" s="38" t="str">
        <x:v>D068</x:v>
      </x:c>
      <x:c r="D74" s="38" t="str">
        <x:v>T12</x:v>
      </x:c>
      <x:c r="E74" s="38" t="str">
        <x:v>危険物表示付き印字帳票</x:v>
      </x:c>
      <x:c r="F74" s="38" t="str">
        <x:v>茨城県つくば市</x:v>
      </x:c>
      <x:c r="G74" s="38" t="str">
        <x:v>栃木県宇都宮市</x:v>
      </x:c>
      <x:c r="H74" s="38" t="str">
        <x:v>低</x:v>
      </x:c>
      <x:c r="I74" s="38" t="str">
        <x:v>なし</x:v>
      </x:c>
      <x:c r="J74" s="38" t="n">
        <x:v>8</x:v>
      </x:c>
      <x:c r="K74" s="38" t="n">
        <x:v>0</x:v>
      </x:c>
      <x:c r="L74" s="38"/>
      <x:c r="M74" s="38"/>
      <x:c r="N74" s="38"/>
      <x:c r="O74" s="38" t="n">
        <x:v>9</x:v>
      </x:c>
      <x:c r="P74" s="38" t="n">
        <x:v>0</x:v>
      </x:c>
      <x:c r="Q74" s="38" t="n">
        <x:v>0</x:v>
      </x:c>
      <x:c r="R74" s="38" t="n">
        <x:v>0</x:v>
      </x:c>
      <x:c r="S74" s="38" t="n">
        <x:v>0</x:v>
      </x:c>
      <x:c r="T74" s="38" t="n">
        <x:v>0</x:v>
      </x:c>
      <x:c r="U74" s="38" t="str">
        <x:v>成功</x:v>
      </x:c>
      <x:c r="V74" s="38"/>
      <x:c r="W74" s="38"/>
      <x:c r="X74" s="38"/>
      <x:c r="Y74" s="38"/>
      <x:c r="Z74" s="38" t="str">
        <x:v>AI事前比較で固定読取・Excel・PDFを確認。危険物第4類・消防法該当・事前連絡を省略せずに保持。 人最終確認待ち。難易度暫定3/16点。</x:v>
      </x:c>
      <x:c r="AA74" s="38" t="str">
        <x:v>2026/10/08 17:11:36</x:v>
      </x:c>
      <x:c r="AB74" s="38" t="str">
        <x:v>2026/10/08 17:11:36</x:v>
      </x:c>
      <x:c r="AC74" s="38" t="str">
        <x:v>2026/10/08 17:11:36</x:v>
      </x:c>
      <x:c r="AD74" s="38" t="str">
        <x:v>0分00秒</x:v>
      </x:c>
      <x:c r="AE74" s="38" t="str">
        <x:v>2026/10/08 17:11:36</x:v>
      </x:c>
      <x:c r="AF74" s="38" t="str">
        <x:v>2026/10/08 17:11:36</x:v>
      </x:c>
      <x:c r="AG74" s="38" t="str">
        <x:v>2026/10/08 17:11:36</x:v>
      </x:c>
      <x:c r="AH74" s="38" t="str">
        <x:v>0分00秒</x:v>
      </x:c>
      <x:c r="AI74" s="38" t="n">
        <x:v>12</x:v>
      </x:c>
      <x:c r="AJ74" s="38" t="n">
        <x:v>0</x:v>
      </x:c>
      <x:c r="AK74" s="38" t="n">
        <x:v>0</x:v>
      </x:c>
      <x:c r="AL74" s="38" t="str">
        <x:v>反映済</x:v>
      </x:c>
      <x:c r="AM74" s="38" t="str">
        <x:v>固定読取A9 B0 C12 D0。人最終確認待ち。</x:v>
      </x:c>
      <x:c r="AN74" s="38" t="s">
        <x:v>373</x:v>
      </x:c>
      <x:c r="AO74" s="38" t="s">
        <x:v>150</x:v>
      </x:c>
      <x:c r="AP74" s="38" t="s">
        <x:v>375</x:v>
      </x:c>
      <x:c r="AQ74" s="38" t="s">
        <x:v>376</x:v>
      </x:c>
      <x:c r="AR74" s="38" t="s">
        <x:v>415</x:v>
      </x:c>
      <x:c r="AS74" s="38" t="s">
        <x:v>118</x:v>
      </x:c>
      <x:c r="AT74" s="38" t="s">
        <x:v>378</x:v>
      </x:c>
      <x:c r="AU74" s="38" t="s">
        <x:v>379</x:v>
      </x:c>
      <x:c r="AV74" s="38" t="s">
        <x:v>416</x:v>
      </x:c>
    </x:row>
    <x:row r="75" ht="17.649999618530273" customHeight="1">
      <x:c r="A75" s="38" t="n">
        <x:v>69</x:v>
      </x:c>
      <x:c r="B75" s="38" t="str">
        <x:v>2026/10/08</x:v>
      </x:c>
      <x:c r="C75" s="38" t="str">
        <x:v>D069</x:v>
      </x:c>
      <x:c r="D75" s="38" t="str">
        <x:v>T07</x:v>
      </x:c>
      <x:c r="E75" s="38" t="str">
        <x:v>手書き依頼メモ＋訂正</x:v>
      </x:c>
      <x:c r="F75" s="38" t="str">
        <x:v>要確認</x:v>
      </x:c>
      <x:c r="G75" s="38" t="str">
        <x:v>東京都八王子市</x:v>
      </x:c>
      <x:c r="H75" s="38" t="str">
        <x:v>中</x:v>
      </x:c>
      <x:c r="I75" s="38" t="str">
        <x:v>なし</x:v>
      </x:c>
      <x:c r="J75" s="38" t="n">
        <x:v>5</x:v>
      </x:c>
      <x:c r="K75" s="38" t="n">
        <x:v>0</x:v>
      </x:c>
      <x:c r="L75" s="38"/>
      <x:c r="M75" s="38"/>
      <x:c r="N75" s="38"/>
      <x:c r="O75" s="38" t="n">
        <x:v>6</x:v>
      </x:c>
      <x:c r="P75" s="38" t="n">
        <x:v>3</x:v>
      </x:c>
      <x:c r="Q75" s="38" t="n">
        <x:v>0</x:v>
      </x:c>
      <x:c r="R75" s="38" t="n">
        <x:v>0</x:v>
      </x:c>
      <x:c r="S75" s="38" t="n">
        <x:v>0</x:v>
      </x:c>
      <x:c r="T75" s="38" t="n">
        <x:v>0</x:v>
      </x:c>
      <x:c r="U75" s="38" t="str">
        <x:v>成功</x:v>
      </x:c>
      <x:c r="V75" s="38"/>
      <x:c r="W75" s="38"/>
      <x:c r="X75" s="38"/>
      <x:c r="Y75" s="38"/>
      <x:c r="Z75" s="38" t="str">
        <x:v>AI事前比較で固定読取・Excel・PDFを確認。旧積地と旧日時は取り消し。5トン貨物に4t平車指定の適合は要確認。 人最終確認待ち。難易度暫定7/16点。 最終監査で日時帰属を訂正。</x:v>
      </x:c>
      <x:c r="AA75" s="38" t="str">
        <x:v>2026/10/08 17:11:36</x:v>
      </x:c>
      <x:c r="AB75" s="38" t="str">
        <x:v>2026/10/08 17:11:36</x:v>
      </x:c>
      <x:c r="AC75" s="38" t="str">
        <x:v>2026/10/08 17:11:36</x:v>
      </x:c>
      <x:c r="AD75" s="38" t="str">
        <x:v>0分00秒</x:v>
      </x:c>
      <x:c r="AE75" s="38" t="str">
        <x:v>2026/10/08 17:11:37</x:v>
      </x:c>
      <x:c r="AF75" s="38" t="str">
        <x:v>2026/10/08 17:11:36</x:v>
      </x:c>
      <x:c r="AG75" s="38" t="str">
        <x:v>2026/10/08 17:11:36</x:v>
      </x:c>
      <x:c r="AH75" s="38" t="str">
        <x:v>0分00秒</x:v>
      </x:c>
      <x:c r="AI75" s="38" t="n">
        <x:v>12</x:v>
      </x:c>
      <x:c r="AJ75" s="38" t="n">
        <x:v>0</x:v>
      </x:c>
      <x:c r="AK75" s="38" t="n">
        <x:v>3</x:v>
      </x:c>
      <x:c r="AL75" s="38" t="str">
        <x:v>一部反映</x:v>
      </x:c>
      <x:c r="AM75" s="38" t="str">
        <x:v>固定読取A6 B3 C12 D0。最終監査で日時帰属を調整。人確認待ち。</x:v>
      </x:c>
      <x:c r="AN75" s="38" t="s">
        <x:v>141</x:v>
      </x:c>
      <x:c r="AO75" s="38" t="s">
        <x:v>310</x:v>
      </x:c>
      <x:c r="AP75" s="38" t="s">
        <x:v>143</x:v>
      </x:c>
      <x:c r="AQ75" s="38" t="s">
        <x:v>144</x:v>
      </x:c>
      <x:c r="AR75" s="38" t="s">
        <x:v>417</x:v>
      </x:c>
      <x:c r="AS75" s="38" t="s">
        <x:v>118</x:v>
      </x:c>
      <x:c r="AT75" s="38" t="s">
        <x:v>146</x:v>
      </x:c>
      <x:c r="AU75" s="38" t="s">
        <x:v>147</x:v>
      </x:c>
      <x:c r="AV75" s="38" t="s">
        <x:v>418</x:v>
      </x:c>
    </x:row>
    <x:row r="76" ht="17.649999618530273" customHeight="1">
      <x:c r="A76" s="38" t="n">
        <x:v>70</x:v>
      </x:c>
      <x:c r="B76" s="38" t="str">
        <x:v>2026/10/08</x:v>
      </x:c>
      <x:c r="C76" s="38" t="str">
        <x:v>D070</x:v>
      </x:c>
      <x:c r="D76" s="38" t="str">
        <x:v>T05</x:v>
      </x:c>
      <x:c r="E76" s="38" t="str">
        <x:v>複数案件一覧（印字）</x:v>
      </x:c>
      <x:c r="F76" s="38" t="str">
        <x:v>神奈川県厚木市</x:v>
      </x:c>
      <x:c r="G76" s="38" t="str">
        <x:v>静岡県浜松市東区／愛知県豊田市</x:v>
      </x:c>
      <x:c r="H76" s="38" t="str">
        <x:v>中</x:v>
      </x:c>
      <x:c r="I76" s="38" t="str">
        <x:v>なし</x:v>
      </x:c>
      <x:c r="J76" s="38" t="n">
        <x:v>7</x:v>
      </x:c>
      <x:c r="K76" s="38" t="n">
        <x:v>0</x:v>
      </x:c>
      <x:c r="L76" s="38"/>
      <x:c r="M76" s="38"/>
      <x:c r="N76" s="38"/>
      <x:c r="O76" s="38" t="n">
        <x:v>8</x:v>
      </x:c>
      <x:c r="P76" s="38" t="n">
        <x:v>0</x:v>
      </x:c>
      <x:c r="Q76" s="38" t="n">
        <x:v>0</x:v>
      </x:c>
      <x:c r="R76" s="38" t="n">
        <x:v>0</x:v>
      </x:c>
      <x:c r="S76" s="38" t="n">
        <x:v>0</x:v>
      </x:c>
      <x:c r="T76" s="38" t="n">
        <x:v>0</x:v>
      </x:c>
      <x:c r="U76" s="38" t="str">
        <x:v>成功</x:v>
      </x:c>
      <x:c r="V76" s="38"/>
      <x:c r="W76" s="38"/>
      <x:c r="X76" s="38"/>
      <x:c r="Y76" s="38"/>
      <x:c r="Z76" s="38" t="str">
        <x:v>AI事前比較で固定読取・Excel・PDFを確認。2件のルート・数量・時間を別明細に固定。配車時の連続ルート順序を保持。 人最終確認待ち。難易度暫定7/16点。</x:v>
      </x:c>
      <x:c r="AA76" s="38" t="str">
        <x:v>2026/10/08 17:11:37</x:v>
      </x:c>
      <x:c r="AB76" s="38" t="str">
        <x:v>2026/10/08 17:11:37</x:v>
      </x:c>
      <x:c r="AC76" s="38" t="str">
        <x:v>2026/10/08 17:11:37</x:v>
      </x:c>
      <x:c r="AD76" s="38" t="str">
        <x:v>0分00秒</x:v>
      </x:c>
      <x:c r="AE76" s="38" t="str">
        <x:v>2026/10/08 17:11:37</x:v>
      </x:c>
      <x:c r="AF76" s="38" t="str">
        <x:v>2026/10/08 17:11:37</x:v>
      </x:c>
      <x:c r="AG76" s="38" t="str">
        <x:v>2026/10/08 17:11:37</x:v>
      </x:c>
      <x:c r="AH76" s="38" t="str">
        <x:v>0分00秒</x:v>
      </x:c>
      <x:c r="AI76" s="38" t="n">
        <x:v>13</x:v>
      </x:c>
      <x:c r="AJ76" s="38" t="n">
        <x:v>0</x:v>
      </x:c>
      <x:c r="AK76" s="38" t="n">
        <x:v>0</x:v>
      </x:c>
      <x:c r="AL76" s="38" t="str">
        <x:v>反映済</x:v>
      </x:c>
      <x:c r="AM76" s="38" t="str">
        <x:v>固定読取A8 B0 C13 D0。人最終確認待ち。</x:v>
      </x:c>
      <x:c r="AN76" s="38" t="s">
        <x:v>158</x:v>
      </x:c>
      <x:c r="AO76" s="38" t="s">
        <x:v>419</x:v>
      </x:c>
      <x:c r="AP76" s="38" t="s">
        <x:v>160</x:v>
      </x:c>
      <x:c r="AQ76" s="38" t="s">
        <x:v>161</x:v>
      </x:c>
      <x:c r="AR76" s="38" t="s">
        <x:v>420</x:v>
      </x:c>
      <x:c r="AS76" s="38" t="s">
        <x:v>163</x:v>
      </x:c>
      <x:c r="AT76" s="38" t="s">
        <x:v>164</x:v>
      </x:c>
      <x:c r="AU76" s="38" t="s">
        <x:v>165</x:v>
      </x:c>
      <x:c r="AV76" s="38" t="s">
        <x:v>421</x:v>
      </x:c>
    </x:row>
    <x:row r="77" ht="17.649999618530273" customHeight="1">
      <x:c r="A77" s="38" t="n">
        <x:v>71</x:v>
      </x:c>
      <x:c r="B77" s="38" t="str">
        <x:v>2026/10/08</x:v>
      </x:c>
      <x:c r="C77" s="38" t="str">
        <x:v>D071</x:v>
      </x:c>
      <x:c r="D77" s="38" t="str">
        <x:v>T03</x:v>
      </x:c>
      <x:c r="E77" s="38" t="str">
        <x:v>手書きメモ</x:v>
      </x:c>
      <x:c r="F77" s="38" t="str">
        <x:v>愛知県蒲郡市</x:v>
      </x:c>
      <x:c r="G77" s="38" t="str">
        <x:v>大阪府茨木市</x:v>
      </x:c>
      <x:c r="H77" s="38" t="str">
        <x:v>低</x:v>
      </x:c>
      <x:c r="I77" s="38" t="str">
        <x:v>なし</x:v>
      </x:c>
      <x:c r="J77" s="38" t="n">
        <x:v>13</x:v>
      </x:c>
      <x:c r="K77" s="38" t="n">
        <x:v>0.01</x:v>
      </x:c>
      <x:c r="L77" s="38"/>
      <x:c r="M77" s="38"/>
      <x:c r="N77" s="38"/>
      <x:c r="O77" s="38" t="n">
        <x:v>14</x:v>
      </x:c>
      <x:c r="P77" s="38" t="n">
        <x:v>0</x:v>
      </x:c>
      <x:c r="Q77" s="38" t="n">
        <x:v>0</x:v>
      </x:c>
      <x:c r="R77" s="38" t="n">
        <x:v>0</x:v>
      </x:c>
      <x:c r="S77" s="38" t="n">
        <x:v>0</x:v>
      </x:c>
      <x:c r="T77" s="38" t="n">
        <x:v>0</x:v>
      </x:c>
      <x:c r="U77" s="38" t="str">
        <x:v>成功</x:v>
      </x:c>
      <x:c r="V77" s="38"/>
      <x:c r="W77" s="38"/>
      <x:c r="X77" s="38"/>
      <x:c r="Y77" s="38"/>
      <x:c r="Z77" s="38" t="str">
        <x:v>AI事前比較で固定読取・Excel・PDFを確認。赤字の至急とフォークリフト条件を保持。 人最終確認待ち。難易度暫定5/16点。</x:v>
      </x:c>
      <x:c r="AA77" s="38" t="str">
        <x:v>2026/10/08 17:55:07</x:v>
      </x:c>
      <x:c r="AB77" s="38" t="str">
        <x:v>2026/10/08 17:55:07</x:v>
      </x:c>
      <x:c r="AC77" s="38" t="str">
        <x:v>2026/10/08 17:55:07</x:v>
      </x:c>
      <x:c r="AD77" s="38" t="str">
        <x:v>0分00秒</x:v>
      </x:c>
      <x:c r="AE77" s="38" t="str">
        <x:v>2026/10/08 17:55:07</x:v>
      </x:c>
      <x:c r="AF77" s="38" t="str">
        <x:v>2026/10/08 17:55:07</x:v>
      </x:c>
      <x:c r="AG77" s="38" t="str">
        <x:v>2026/10/08 17:55:07</x:v>
      </x:c>
      <x:c r="AH77" s="38" t="str">
        <x:v>0分00秒</x:v>
      </x:c>
      <x:c r="AI77" s="38" t="n">
        <x:v>7</x:v>
      </x:c>
      <x:c r="AJ77" s="38" t="n">
        <x:v>0</x:v>
      </x:c>
      <x:c r="AK77" s="38" t="n">
        <x:v>0</x:v>
      </x:c>
      <x:c r="AL77" s="38" t="str">
        <x:v>反映済</x:v>
      </x:c>
      <x:c r="AM77" s="38" t="str">
        <x:v>固定読取A14 B0 C7 D0。人最終確認待ち。</x:v>
      </x:c>
      <x:c r="AN77" s="38" t="s">
        <x:v>132</x:v>
      </x:c>
      <x:c r="AO77" s="38" t="s">
        <x:v>422</x:v>
      </x:c>
      <x:c r="AP77" s="38" t="s">
        <x:v>134</x:v>
      </x:c>
      <x:c r="AQ77" s="38" t="s">
        <x:v>135</x:v>
      </x:c>
      <x:c r="AR77" s="38" t="s">
        <x:v>423</x:v>
      </x:c>
      <x:c r="AS77" s="38" t="s">
        <x:v>118</x:v>
      </x:c>
      <x:c r="AT77" s="38" t="s">
        <x:v>137</x:v>
      </x:c>
      <x:c r="AU77" s="38" t="s">
        <x:v>138</x:v>
      </x:c>
      <x:c r="AV77" s="38" t="s">
        <x:v>424</x:v>
      </x:c>
    </x:row>
    <x:row r="78" ht="17.649999618530273" customHeight="1">
      <x:c r="A78" s="38" t="n">
        <x:v>72</x:v>
      </x:c>
      <x:c r="B78" s="38" t="str">
        <x:v>2026/10/08</x:v>
      </x:c>
      <x:c r="C78" s="38" t="str">
        <x:v>D072</x:v>
      </x:c>
      <x:c r="D78" s="38" t="str">
        <x:v>T01</x:v>
      </x:c>
      <x:c r="E78" s="38" t="str">
        <x:v>定型印字帳票</x:v>
      </x:c>
      <x:c r="F78" s="38" t="str">
        <x:v>岐阜県各務原市</x:v>
      </x:c>
      <x:c r="G78" s="38" t="str">
        <x:v>東京都江東区</x:v>
      </x:c>
      <x:c r="H78" s="38" t="str">
        <x:v>低</x:v>
      </x:c>
      <x:c r="I78" s="38" t="str">
        <x:v>なし</x:v>
      </x:c>
      <x:c r="J78" s="38" t="n">
        <x:v>14</x:v>
      </x:c>
      <x:c r="K78" s="38" t="n">
        <x:v>0</x:v>
      </x:c>
      <x:c r="L78" s="38"/>
      <x:c r="M78" s="38"/>
      <x:c r="N78" s="38"/>
      <x:c r="O78" s="38" t="n">
        <x:v>15</x:v>
      </x:c>
      <x:c r="P78" s="38" t="n">
        <x:v>0</x:v>
      </x:c>
      <x:c r="Q78" s="38" t="n">
        <x:v>0</x:v>
      </x:c>
      <x:c r="R78" s="38" t="n">
        <x:v>0</x:v>
      </x:c>
      <x:c r="S78" s="38" t="n">
        <x:v>0</x:v>
      </x:c>
      <x:c r="T78" s="38" t="n">
        <x:v>0</x:v>
      </x:c>
      <x:c r="U78" s="38" t="str">
        <x:v>成功</x:v>
      </x:c>
      <x:c r="V78" s="38"/>
      <x:c r="W78" s="38"/>
      <x:c r="X78" s="38"/>
      <x:c r="Y78" s="38"/>
      <x:c r="Z78" s="38" t="str">
        <x:v>AI事前比較で固定読取・Excel・PDFを確認。依頼書の差出人は輸送必要情報と区別。 人最終確認待ち。難易度暫定2/16点。</x:v>
      </x:c>
      <x:c r="AA78" s="38" t="str">
        <x:v>2026/10/08 17:55:08</x:v>
      </x:c>
      <x:c r="AB78" s="38" t="str">
        <x:v>2026/10/08 17:55:08</x:v>
      </x:c>
      <x:c r="AC78" s="38" t="str">
        <x:v>2026/10/08 17:55:08</x:v>
      </x:c>
      <x:c r="AD78" s="38" t="str">
        <x:v>0分00秒</x:v>
      </x:c>
      <x:c r="AE78" s="38" t="str">
        <x:v>2026/10/08 17:55:08</x:v>
      </x:c>
      <x:c r="AF78" s="38" t="str">
        <x:v>2026/10/08 17:55:08</x:v>
      </x:c>
      <x:c r="AG78" s="38" t="str">
        <x:v>2026/10/08 17:55:08</x:v>
      </x:c>
      <x:c r="AH78" s="38" t="str">
        <x:v>0分00秒</x:v>
      </x:c>
      <x:c r="AI78" s="38" t="n">
        <x:v>6</x:v>
      </x:c>
      <x:c r="AJ78" s="38" t="n">
        <x:v>0</x:v>
      </x:c>
      <x:c r="AK78" s="38" t="n">
        <x:v>0</x:v>
      </x:c>
      <x:c r="AL78" s="38" t="str">
        <x:v>反映済</x:v>
      </x:c>
      <x:c r="AM78" s="38" t="str">
        <x:v>固定読取A15 B0 C6 D0。人最終確認待ち。</x:v>
      </x:c>
      <x:c r="AN78" s="38" t="s">
        <x:v>113</x:v>
      </x:c>
      <x:c r="AO78" s="38" t="s">
        <x:v>319</x:v>
      </x:c>
      <x:c r="AP78" s="38" t="s">
        <x:v>115</x:v>
      </x:c>
      <x:c r="AQ78" s="38" t="s">
        <x:v>116</x:v>
      </x:c>
      <x:c r="AR78" s="38" t="s">
        <x:v>425</x:v>
      </x:c>
      <x:c r="AS78" s="38" t="s">
        <x:v>118</x:v>
      </x:c>
      <x:c r="AT78" s="38" t="s">
        <x:v>119</x:v>
      </x:c>
      <x:c r="AU78" s="38" t="s">
        <x:v>120</x:v>
      </x:c>
      <x:c r="AV78" s="38" t="s">
        <x:v>426</x:v>
      </x:c>
    </x:row>
    <x:row r="79" ht="17.649999618530273" customHeight="1">
      <x:c r="A79" s="38" t="n">
        <x:v>73</x:v>
      </x:c>
      <x:c r="B79" s="38" t="str">
        <x:v>2026/10/08</x:v>
      </x:c>
      <x:c r="C79" s="38" t="str">
        <x:v>D073</x:v>
      </x:c>
      <x:c r="D79" s="38" t="str">
        <x:v>T01</x:v>
      </x:c>
      <x:c r="E79" s="38" t="str">
        <x:v>FAX送信文（鮮明）</x:v>
      </x:c>
      <x:c r="F79" s="38" t="str">
        <x:v>静岡県富士市</x:v>
      </x:c>
      <x:c r="G79" s="38" t="str">
        <x:v>山梨県甲府市</x:v>
      </x:c>
      <x:c r="H79" s="38" t="str">
        <x:v>低</x:v>
      </x:c>
      <x:c r="I79" s="38" t="str">
        <x:v>なし</x:v>
      </x:c>
      <x:c r="J79" s="38" t="n">
        <x:v>13</x:v>
      </x:c>
      <x:c r="K79" s="38" t="n">
        <x:v>0</x:v>
      </x:c>
      <x:c r="L79" s="38"/>
      <x:c r="M79" s="38"/>
      <x:c r="N79" s="38"/>
      <x:c r="O79" s="38" t="n">
        <x:v>14</x:v>
      </x:c>
      <x:c r="P79" s="38" t="n">
        <x:v>0</x:v>
      </x:c>
      <x:c r="Q79" s="38" t="n">
        <x:v>0</x:v>
      </x:c>
      <x:c r="R79" s="38" t="n">
        <x:v>0</x:v>
      </x:c>
      <x:c r="S79" s="38" t="n">
        <x:v>0</x:v>
      </x:c>
      <x:c r="T79" s="38" t="n">
        <x:v>0</x:v>
      </x:c>
      <x:c r="U79" s="38" t="str">
        <x:v>成功</x:v>
      </x:c>
      <x:c r="V79" s="38"/>
      <x:c r="W79" s="38"/>
      <x:c r="X79" s="38"/>
      <x:c r="Y79" s="38"/>
      <x:c r="Z79" s="38" t="str">
        <x:v>AI事前比較で固定読取・Excel・PDFを確認。FAXの午前条件・11:00までを原文保持。 人最終確認待ち。難易度暫定3/16点。</x:v>
      </x:c>
      <x:c r="AA79" s="38" t="str">
        <x:v>2026/10/08 17:55:09</x:v>
      </x:c>
      <x:c r="AB79" s="38" t="str">
        <x:v>2026/10/08 17:55:09</x:v>
      </x:c>
      <x:c r="AC79" s="38" t="str">
        <x:v>2026/10/08 17:55:09</x:v>
      </x:c>
      <x:c r="AD79" s="38" t="str">
        <x:v>0分00秒</x:v>
      </x:c>
      <x:c r="AE79" s="38" t="str">
        <x:v>2026/10/08 17:55:09</x:v>
      </x:c>
      <x:c r="AF79" s="38" t="str">
        <x:v>2026/10/08 17:55:09</x:v>
      </x:c>
      <x:c r="AG79" s="38" t="str">
        <x:v>2026/10/08 17:55:09</x:v>
      </x:c>
      <x:c r="AH79" s="38" t="str">
        <x:v>0分00秒</x:v>
      </x:c>
      <x:c r="AI79" s="38" t="n">
        <x:v>7</x:v>
      </x:c>
      <x:c r="AJ79" s="38" t="n">
        <x:v>0</x:v>
      </x:c>
      <x:c r="AK79" s="38" t="n">
        <x:v>0</x:v>
      </x:c>
      <x:c r="AL79" s="38" t="str">
        <x:v>反映済</x:v>
      </x:c>
      <x:c r="AM79" s="38" t="str">
        <x:v>固定読取A14 B0 C7 D0。人最終確認待ち。</x:v>
      </x:c>
      <x:c r="AN79" s="38" t="s">
        <x:v>113</x:v>
      </x:c>
      <x:c r="AO79" s="38" t="s">
        <x:v>427</x:v>
      </x:c>
      <x:c r="AP79" s="38" t="s">
        <x:v>115</x:v>
      </x:c>
      <x:c r="AQ79" s="38" t="s">
        <x:v>116</x:v>
      </x:c>
      <x:c r="AR79" s="38" t="s">
        <x:v>428</x:v>
      </x:c>
      <x:c r="AS79" s="38" t="s">
        <x:v>118</x:v>
      </x:c>
      <x:c r="AT79" s="38" t="s">
        <x:v>119</x:v>
      </x:c>
      <x:c r="AU79" s="38" t="s">
        <x:v>120</x:v>
      </x:c>
      <x:c r="AV79" s="38" t="s">
        <x:v>429</x:v>
      </x:c>
    </x:row>
    <x:row r="80" ht="17.649999618530273" customHeight="1">
      <x:c r="A80" s="38" t="n">
        <x:v>74</x:v>
      </x:c>
      <x:c r="B80" s="38" t="str">
        <x:v>2026/10/08</x:v>
      </x:c>
      <x:c r="C80" s="38" t="str">
        <x:v>D074</x:v>
      </x:c>
      <x:c r="D80" s="38" t="str">
        <x:v>T04</x:v>
      </x:c>
      <x:c r="E80" s="38" t="str">
        <x:v>スマホメール画面</x:v>
      </x:c>
      <x:c r="F80" s="38" t="str">
        <x:v>東京都大田区</x:v>
      </x:c>
      <x:c r="G80" s="38" t="str">
        <x:v>宮城県仙台市宮城野区</x:v>
      </x:c>
      <x:c r="H80" s="38" t="str">
        <x:v>低</x:v>
      </x:c>
      <x:c r="I80" s="38" t="str">
        <x:v>なし</x:v>
      </x:c>
      <x:c r="J80" s="38" t="n">
        <x:v>11</x:v>
      </x:c>
      <x:c r="K80" s="38" t="n">
        <x:v>0</x:v>
      </x:c>
      <x:c r="L80" s="38"/>
      <x:c r="M80" s="38"/>
      <x:c r="N80" s="38"/>
      <x:c r="O80" s="38" t="n">
        <x:v>12</x:v>
      </x:c>
      <x:c r="P80" s="38" t="n">
        <x:v>0</x:v>
      </x:c>
      <x:c r="Q80" s="38" t="n">
        <x:v>0</x:v>
      </x:c>
      <x:c r="R80" s="38" t="n">
        <x:v>0</x:v>
      </x:c>
      <x:c r="S80" s="38" t="n">
        <x:v>0</x:v>
      </x:c>
      <x:c r="T80" s="38" t="n">
        <x:v>0</x:v>
      </x:c>
      <x:c r="U80" s="38" t="str">
        <x:v>成功</x:v>
      </x:c>
      <x:c r="V80" s="38"/>
      <x:c r="W80" s="38"/>
      <x:c r="X80" s="38"/>
      <x:c r="Y80" s="38"/>
      <x:c r="Z80" s="38" t="str">
        <x:v>AI事前比較で固定読取・Excel・PDFを確認。納品時間の指定がないため記載なし。メールアドレスを転記しない。 人最終確認待ち。難易度暫定3/16点。</x:v>
      </x:c>
      <x:c r="AA80" s="38" t="str">
        <x:v>2026/10/08 17:55:10</x:v>
      </x:c>
      <x:c r="AB80" s="38" t="str">
        <x:v>2026/10/08 17:55:10</x:v>
      </x:c>
      <x:c r="AC80" s="38" t="str">
        <x:v>2026/10/08 17:55:10</x:v>
      </x:c>
      <x:c r="AD80" s="38" t="str">
        <x:v>0分00秒</x:v>
      </x:c>
      <x:c r="AE80" s="38" t="str">
        <x:v>2026/10/08 17:55:10</x:v>
      </x:c>
      <x:c r="AF80" s="38" t="str">
        <x:v>2026/10/08 17:55:10</x:v>
      </x:c>
      <x:c r="AG80" s="38" t="str">
        <x:v>2026/10/08 17:55:10</x:v>
      </x:c>
      <x:c r="AH80" s="38" t="str">
        <x:v>0分00秒</x:v>
      </x:c>
      <x:c r="AI80" s="38" t="n">
        <x:v>9</x:v>
      </x:c>
      <x:c r="AJ80" s="38" t="n">
        <x:v>0</x:v>
      </x:c>
      <x:c r="AK80" s="38" t="n">
        <x:v>0</x:v>
      </x:c>
      <x:c r="AL80" s="38" t="str">
        <x:v>反映済</x:v>
      </x:c>
      <x:c r="AM80" s="38" t="str">
        <x:v>固定読取A12 B0 C9 D0。人最終確認待ち。</x:v>
      </x:c>
      <x:c r="AN80" s="38" t="s">
        <x:v>200</x:v>
      </x:c>
      <x:c r="AO80" s="38" t="s">
        <x:v>142</x:v>
      </x:c>
      <x:c r="AP80" s="38" t="s">
        <x:v>201</x:v>
      </x:c>
      <x:c r="AQ80" s="38" t="s">
        <x:v>202</x:v>
      </x:c>
      <x:c r="AR80" s="38" t="s">
        <x:v>430</x:v>
      </x:c>
      <x:c r="AS80" s="38" t="s">
        <x:v>118</x:v>
      </x:c>
      <x:c r="AT80" s="38" t="s">
        <x:v>204</x:v>
      </x:c>
      <x:c r="AU80" s="38" t="s">
        <x:v>205</x:v>
      </x:c>
      <x:c r="AV80" s="38" t="s">
        <x:v>431</x:v>
      </x:c>
    </x:row>
    <x:row r="81" ht="17.649999618530273" customHeight="1">
      <x:c r="A81" s="38" t="n">
        <x:v>75</x:v>
      </x:c>
      <x:c r="B81" s="38" t="str">
        <x:v>2026/10/08</x:v>
      </x:c>
      <x:c r="C81" s="38" t="str">
        <x:v>D075</x:v>
      </x:c>
      <x:c r="D81" s="38" t="str">
        <x:v>T12</x:v>
      </x:c>
      <x:c r="E81" s="38" t="str">
        <x:v>定型印字帳票（ドラム缶・特殊条件）</x:v>
      </x:c>
      <x:c r="F81" s="38" t="str">
        <x:v>神奈川県川崎市川崎区</x:v>
      </x:c>
      <x:c r="G81" s="38" t="str">
        <x:v>石川県金沢市</x:v>
      </x:c>
      <x:c r="H81" s="38" t="str">
        <x:v>低</x:v>
      </x:c>
      <x:c r="I81" s="38" t="str">
        <x:v>なし</x:v>
      </x:c>
      <x:c r="J81" s="38" t="n">
        <x:v>13</x:v>
      </x:c>
      <x:c r="K81" s="38" t="n">
        <x:v>0</x:v>
      </x:c>
      <x:c r="L81" s="38"/>
      <x:c r="M81" s="38"/>
      <x:c r="N81" s="38"/>
      <x:c r="O81" s="38" t="n">
        <x:v>14</x:v>
      </x:c>
      <x:c r="P81" s="38" t="n">
        <x:v>0</x:v>
      </x:c>
      <x:c r="Q81" s="38" t="n">
        <x:v>0</x:v>
      </x:c>
      <x:c r="R81" s="38" t="n">
        <x:v>0</x:v>
      </x:c>
      <x:c r="S81" s="38" t="n">
        <x:v>0</x:v>
      </x:c>
      <x:c r="T81" s="38" t="n">
        <x:v>0</x:v>
      </x:c>
      <x:c r="U81" s="38" t="str">
        <x:v>成功</x:v>
      </x:c>
      <x:c r="V81" s="38"/>
      <x:c r="W81" s="38"/>
      <x:c r="X81" s="38"/>
      <x:c r="Y81" s="38"/>
      <x:c r="Z81" s="38" t="str">
        <x:v>AI事前比較で固定読取・Excel・PDFを確認。朱色の「至急」、午前中指定を保持。 人最終確認待ち。難易度暫定5/16点。</x:v>
      </x:c>
      <x:c r="AA81" s="38" t="str">
        <x:v>2026/10/08 17:55:10</x:v>
      </x:c>
      <x:c r="AB81" s="38" t="str">
        <x:v>2026/10/08 17:55:10</x:v>
      </x:c>
      <x:c r="AC81" s="38" t="str">
        <x:v>2026/10/08 17:55:10</x:v>
      </x:c>
      <x:c r="AD81" s="38" t="str">
        <x:v>0分00秒</x:v>
      </x:c>
      <x:c r="AE81" s="38" t="str">
        <x:v>2026/10/08 17:55:10</x:v>
      </x:c>
      <x:c r="AF81" s="38" t="str">
        <x:v>2026/10/08 17:55:10</x:v>
      </x:c>
      <x:c r="AG81" s="38" t="str">
        <x:v>2026/10/08 17:55:10</x:v>
      </x:c>
      <x:c r="AH81" s="38" t="str">
        <x:v>0分00秒</x:v>
      </x:c>
      <x:c r="AI81" s="38" t="n">
        <x:v>7</x:v>
      </x:c>
      <x:c r="AJ81" s="38" t="n">
        <x:v>0</x:v>
      </x:c>
      <x:c r="AK81" s="38" t="n">
        <x:v>0</x:v>
      </x:c>
      <x:c r="AL81" s="38" t="str">
        <x:v>反映済</x:v>
      </x:c>
      <x:c r="AM81" s="38" t="str">
        <x:v>固定読取A14 B0 C7 D0。人最終確認待ち。</x:v>
      </x:c>
      <x:c r="AN81" s="38" t="s">
        <x:v>373</x:v>
      </x:c>
      <x:c r="AO81" s="38" t="s">
        <x:v>150</x:v>
      </x:c>
      <x:c r="AP81" s="38" t="s">
        <x:v>375</x:v>
      </x:c>
      <x:c r="AQ81" s="38" t="s">
        <x:v>376</x:v>
      </x:c>
      <x:c r="AR81" s="38" t="s">
        <x:v>432</x:v>
      </x:c>
      <x:c r="AS81" s="38" t="s">
        <x:v>118</x:v>
      </x:c>
      <x:c r="AT81" s="38" t="s">
        <x:v>378</x:v>
      </x:c>
      <x:c r="AU81" s="38" t="s">
        <x:v>379</x:v>
      </x:c>
      <x:c r="AV81" s="38" t="s">
        <x:v>433</x:v>
      </x:c>
    </x:row>
    <x:row r="82" ht="17.649999618530273" customHeight="1">
      <x:c r="A82" s="38" t="n">
        <x:v>76</x:v>
      </x:c>
      <x:c r="B82" s="38" t="str">
        <x:v>2026/10/08</x:v>
      </x:c>
      <x:c r="C82" s="38" t="str">
        <x:v>D076</x:v>
      </x:c>
      <x:c r="D82" s="38" t="str">
        <x:v>T04</x:v>
      </x:c>
      <x:c r="E82" s="38" t="str">
        <x:v>印字依頼文書（文章形式）</x:v>
      </x:c>
      <x:c r="F82" s="38" t="str">
        <x:v>三重県四日市市</x:v>
      </x:c>
      <x:c r="G82" s="38" t="str">
        <x:v>愛知県豊田市</x:v>
      </x:c>
      <x:c r="H82" s="38" t="str">
        <x:v>低</x:v>
      </x:c>
      <x:c r="I82" s="38" t="str">
        <x:v>なし</x:v>
      </x:c>
      <x:c r="J82" s="38" t="n">
        <x:v>10</x:v>
      </x:c>
      <x:c r="K82" s="38" t="n">
        <x:v>0</x:v>
      </x:c>
      <x:c r="L82" s="38"/>
      <x:c r="M82" s="38"/>
      <x:c r="N82" s="38"/>
      <x:c r="O82" s="38" t="n">
        <x:v>11</x:v>
      </x:c>
      <x:c r="P82" s="38" t="n">
        <x:v>1</x:v>
      </x:c>
      <x:c r="Q82" s="38" t="n">
        <x:v>0</x:v>
      </x:c>
      <x:c r="R82" s="38" t="n">
        <x:v>0</x:v>
      </x:c>
      <x:c r="S82" s="38" t="n">
        <x:v>0</x:v>
      </x:c>
      <x:c r="T82" s="38" t="n">
        <x:v>0</x:v>
      </x:c>
      <x:c r="U82" s="38" t="str">
        <x:v>成功</x:v>
      </x:c>
      <x:c r="V82" s="38"/>
      <x:c r="W82" s="38"/>
      <x:c r="X82" s="38"/>
      <x:c r="Y82" s="38"/>
      <x:c r="Z82" s="38" t="str">
        <x:v>AI事前比較で固定読取・Excel・PDFを確認。画像見出しD036だがファイル名D076。納品時間は17:00まで。参照写真は未添付。 人最終確認待ち。難易度暫定5/16点。</x:v>
      </x:c>
      <x:c r="AA82" s="38" t="str">
        <x:v>2026/10/08 17:55:11</x:v>
      </x:c>
      <x:c r="AB82" s="38" t="str">
        <x:v>2026/10/08 17:55:11</x:v>
      </x:c>
      <x:c r="AC82" s="38" t="str">
        <x:v>2026/10/08 17:55:11</x:v>
      </x:c>
      <x:c r="AD82" s="38" t="str">
        <x:v>0分00秒</x:v>
      </x:c>
      <x:c r="AE82" s="38" t="str">
        <x:v>2026/10/08 17:55:11</x:v>
      </x:c>
      <x:c r="AF82" s="38" t="str">
        <x:v>2026/10/08 17:55:11</x:v>
      </x:c>
      <x:c r="AG82" s="38" t="str">
        <x:v>2026/10/08 17:55:11</x:v>
      </x:c>
      <x:c r="AH82" s="38" t="str">
        <x:v>0分00秒</x:v>
      </x:c>
      <x:c r="AI82" s="38" t="n">
        <x:v>9</x:v>
      </x:c>
      <x:c r="AJ82" s="38" t="n">
        <x:v>0</x:v>
      </x:c>
      <x:c r="AK82" s="38" t="n">
        <x:v>1</x:v>
      </x:c>
      <x:c r="AL82" s="38" t="str">
        <x:v>一部反映</x:v>
      </x:c>
      <x:c r="AM82" s="38" t="str">
        <x:v>固定読取A11 B1 C9 D0。人最終確認待ち。</x:v>
      </x:c>
      <x:c r="AN82" s="38" t="s">
        <x:v>200</x:v>
      </x:c>
      <x:c r="AO82" s="38" t="s">
        <x:v>434</x:v>
      </x:c>
      <x:c r="AP82" s="38" t="s">
        <x:v>201</x:v>
      </x:c>
      <x:c r="AQ82" s="38" t="s">
        <x:v>202</x:v>
      </x:c>
      <x:c r="AR82" s="38" t="s">
        <x:v>435</x:v>
      </x:c>
      <x:c r="AS82" s="38" t="s">
        <x:v>118</x:v>
      </x:c>
      <x:c r="AT82" s="38" t="s">
        <x:v>204</x:v>
      </x:c>
      <x:c r="AU82" s="38" t="s">
        <x:v>205</x:v>
      </x:c>
      <x:c r="AV82" s="38" t="s">
        <x:v>436</x:v>
      </x:c>
    </x:row>
    <x:row r="83" ht="17.649999618530273" customHeight="1">
      <x:c r="A83" s="38" t="n">
        <x:v>77</x:v>
      </x:c>
      <x:c r="B83" s="38" t="str">
        <x:v>2026/10/08</x:v>
      </x:c>
      <x:c r="C83" s="38" t="str">
        <x:v>D077</x:v>
      </x:c>
      <x:c r="D83" s="38" t="str">
        <x:v>T03</x:v>
      </x:c>
      <x:c r="E83" s="38" t="str">
        <x:v>手書きメモ</x:v>
      </x:c>
      <x:c r="F83" s="38" t="str">
        <x:v>埼玉県草加市</x:v>
      </x:c>
      <x:c r="G83" s="38" t="str">
        <x:v>千葉県市原市</x:v>
      </x:c>
      <x:c r="H83" s="38" t="str">
        <x:v>低</x:v>
      </x:c>
      <x:c r="I83" s="38" t="str">
        <x:v>なし</x:v>
      </x:c>
      <x:c r="J83" s="38" t="n">
        <x:v>13</x:v>
      </x:c>
      <x:c r="K83" s="38" t="n">
        <x:v>0</x:v>
      </x:c>
      <x:c r="L83" s="38"/>
      <x:c r="M83" s="38"/>
      <x:c r="N83" s="38"/>
      <x:c r="O83" s="38" t="n">
        <x:v>14</x:v>
      </x:c>
      <x:c r="P83" s="38" t="n">
        <x:v>0</x:v>
      </x:c>
      <x:c r="Q83" s="38" t="n">
        <x:v>0</x:v>
      </x:c>
      <x:c r="R83" s="38" t="n">
        <x:v>0</x:v>
      </x:c>
      <x:c r="S83" s="38" t="n">
        <x:v>0</x:v>
      </x:c>
      <x:c r="T83" s="38" t="n">
        <x:v>0</x:v>
      </x:c>
      <x:c r="U83" s="38" t="str">
        <x:v>成功</x:v>
      </x:c>
      <x:c r="V83" s="38"/>
      <x:c r="W83" s="38"/>
      <x:c r="X83" s="38"/>
      <x:c r="Y83" s="38"/>
      <x:c r="Z83" s="38" t="str">
        <x:v>AI事前比較で固定読取・Excel・PDFを確認。画像見出しD037だがファイル名D077。手書きの2t車指定を保持。 人最終確認待ち。難易度暫定5/16点。</x:v>
      </x:c>
      <x:c r="AA83" s="38" t="str">
        <x:v>2026/10/08 17:55:12</x:v>
      </x:c>
      <x:c r="AB83" s="38" t="str">
        <x:v>2026/10/08 17:55:12</x:v>
      </x:c>
      <x:c r="AC83" s="38" t="str">
        <x:v>2026/10/08 17:55:12</x:v>
      </x:c>
      <x:c r="AD83" s="38" t="str">
        <x:v>0分00秒</x:v>
      </x:c>
      <x:c r="AE83" s="38" t="str">
        <x:v>2026/10/08 17:55:12</x:v>
      </x:c>
      <x:c r="AF83" s="38" t="str">
        <x:v>2026/10/08 17:55:12</x:v>
      </x:c>
      <x:c r="AG83" s="38" t="str">
        <x:v>2026/10/08 17:55:12</x:v>
      </x:c>
      <x:c r="AH83" s="38" t="str">
        <x:v>0分00秒</x:v>
      </x:c>
      <x:c r="AI83" s="38" t="n">
        <x:v>7</x:v>
      </x:c>
      <x:c r="AJ83" s="38" t="n">
        <x:v>0</x:v>
      </x:c>
      <x:c r="AK83" s="38" t="n">
        <x:v>0</x:v>
      </x:c>
      <x:c r="AL83" s="38" t="str">
        <x:v>反映済</x:v>
      </x:c>
      <x:c r="AM83" s="38" t="str">
        <x:v>固定読取A14 B0 C7 D0。人最終確認待ち。</x:v>
      </x:c>
      <x:c r="AN83" s="38" t="s">
        <x:v>132</x:v>
      </x:c>
      <x:c r="AO83" s="38" t="s">
        <x:v>281</x:v>
      </x:c>
      <x:c r="AP83" s="38" t="s">
        <x:v>134</x:v>
      </x:c>
      <x:c r="AQ83" s="38" t="s">
        <x:v>135</x:v>
      </x:c>
      <x:c r="AR83" s="38" t="s">
        <x:v>437</x:v>
      </x:c>
      <x:c r="AS83" s="38" t="s">
        <x:v>118</x:v>
      </x:c>
      <x:c r="AT83" s="38" t="s">
        <x:v>137</x:v>
      </x:c>
      <x:c r="AU83" s="38" t="s">
        <x:v>138</x:v>
      </x:c>
      <x:c r="AV83" s="38" t="s">
        <x:v>438</x:v>
      </x:c>
    </x:row>
    <x:row r="84" ht="17.649999618530273" customHeight="1">
      <x:c r="A84" s="38" t="n">
        <x:v>78</x:v>
      </x:c>
      <x:c r="B84" s="38" t="str">
        <x:v>2026/10/08</x:v>
      </x:c>
      <x:c r="C84" s="38" t="str">
        <x:v>D078</x:v>
      </x:c>
      <x:c r="D84" s="38" t="str">
        <x:v>T01</x:v>
      </x:c>
      <x:c r="E84" s="38" t="str">
        <x:v>定型印字帳票</x:v>
      </x:c>
      <x:c r="F84" s="38" t="str">
        <x:v>広島県東広島市</x:v>
      </x:c>
      <x:c r="G84" s="38" t="str">
        <x:v>福岡県北九州市小倉南区</x:v>
      </x:c>
      <x:c r="H84" s="38" t="str">
        <x:v>低</x:v>
      </x:c>
      <x:c r="I84" s="38" t="str">
        <x:v>なし</x:v>
      </x:c>
      <x:c r="J84" s="38" t="n">
        <x:v>14</x:v>
      </x:c>
      <x:c r="K84" s="38" t="n">
        <x:v>0</x:v>
      </x:c>
      <x:c r="L84" s="38"/>
      <x:c r="M84" s="38"/>
      <x:c r="N84" s="38"/>
      <x:c r="O84" s="38" t="n">
        <x:v>15</x:v>
      </x:c>
      <x:c r="P84" s="38" t="n">
        <x:v>0</x:v>
      </x:c>
      <x:c r="Q84" s="38" t="n">
        <x:v>0</x:v>
      </x:c>
      <x:c r="R84" s="38" t="n">
        <x:v>0</x:v>
      </x:c>
      <x:c r="S84" s="38" t="n">
        <x:v>0</x:v>
      </x:c>
      <x:c r="T84" s="38" t="n">
        <x:v>0</x:v>
      </x:c>
      <x:c r="U84" s="38" t="str">
        <x:v>成功</x:v>
      </x:c>
      <x:c r="V84" s="38"/>
      <x:c r="W84" s="38"/>
      <x:c r="X84" s="38"/>
      <x:c r="Y84" s="38"/>
      <x:c r="Z84" s="38" t="str">
        <x:v>AI事前比較で固定読取・Excel・PDFを確認。画像見出しD038。住所は広島県東広島市。午前中指定保持。 人最終確認待ち。難易度暫定3/16点。</x:v>
      </x:c>
      <x:c r="AA84" s="38" t="str">
        <x:v>2026/10/08 17:55:13</x:v>
      </x:c>
      <x:c r="AB84" s="38" t="str">
        <x:v>2026/10/08 17:55:13</x:v>
      </x:c>
      <x:c r="AC84" s="38" t="str">
        <x:v>2026/10/08 17:55:13</x:v>
      </x:c>
      <x:c r="AD84" s="38" t="str">
        <x:v>0分00秒</x:v>
      </x:c>
      <x:c r="AE84" s="38" t="str">
        <x:v>2026/10/08 17:55:13</x:v>
      </x:c>
      <x:c r="AF84" s="38" t="str">
        <x:v>2026/10/08 17:55:13</x:v>
      </x:c>
      <x:c r="AG84" s="38" t="str">
        <x:v>2026/10/08 17:55:13</x:v>
      </x:c>
      <x:c r="AH84" s="38" t="str">
        <x:v>0分00秒</x:v>
      </x:c>
      <x:c r="AI84" s="38" t="n">
        <x:v>6</x:v>
      </x:c>
      <x:c r="AJ84" s="38" t="n">
        <x:v>0</x:v>
      </x:c>
      <x:c r="AK84" s="38" t="n">
        <x:v>0</x:v>
      </x:c>
      <x:c r="AL84" s="38" t="str">
        <x:v>反映済</x:v>
      </x:c>
      <x:c r="AM84" s="38" t="str">
        <x:v>固定読取A15 B0 C6 D0。人最終確認待ち。</x:v>
      </x:c>
      <x:c r="AN84" s="38" t="s">
        <x:v>113</x:v>
      </x:c>
      <x:c r="AO84" s="38" t="s">
        <x:v>439</x:v>
      </x:c>
      <x:c r="AP84" s="38" t="s">
        <x:v>115</x:v>
      </x:c>
      <x:c r="AQ84" s="38" t="s">
        <x:v>116</x:v>
      </x:c>
      <x:c r="AR84" s="38" t="s">
        <x:v>440</x:v>
      </x:c>
      <x:c r="AS84" s="38" t="s">
        <x:v>118</x:v>
      </x:c>
      <x:c r="AT84" s="38" t="s">
        <x:v>119</x:v>
      </x:c>
      <x:c r="AU84" s="38" t="s">
        <x:v>120</x:v>
      </x:c>
      <x:c r="AV84" s="38" t="s">
        <x:v>441</x:v>
      </x:c>
    </x:row>
    <x:row r="85" ht="17.649999618530273" customHeight="1">
      <x:c r="A85" s="38" t="n">
        <x:v>79</x:v>
      </x:c>
      <x:c r="B85" s="38" t="str">
        <x:v>2026/10/08</x:v>
      </x:c>
      <x:c r="C85" s="38" t="str">
        <x:v>D079</x:v>
      </x:c>
      <x:c r="D85" s="38" t="str">
        <x:v>T02</x:v>
      </x:c>
      <x:c r="E85" s="38" t="str">
        <x:v>劣化FAX</x:v>
      </x:c>
      <x:c r="F85" s="38" t="str">
        <x:v>兵庫県加古川市</x:v>
      </x:c>
      <x:c r="G85" s="38" t="str">
        <x:v>岡山県岡山市南区</x:v>
      </x:c>
      <x:c r="H85" s="38" t="str">
        <x:v>低</x:v>
      </x:c>
      <x:c r="I85" s="38" t="str">
        <x:v>なし</x:v>
      </x:c>
      <x:c r="J85" s="38" t="n">
        <x:v>14</x:v>
      </x:c>
      <x:c r="K85" s="38" t="n">
        <x:v>0</x:v>
      </x:c>
      <x:c r="L85" s="38"/>
      <x:c r="M85" s="38"/>
      <x:c r="N85" s="38"/>
      <x:c r="O85" s="38" t="n">
        <x:v>15</x:v>
      </x:c>
      <x:c r="P85" s="38" t="n">
        <x:v>0</x:v>
      </x:c>
      <x:c r="Q85" s="38" t="n">
        <x:v>0</x:v>
      </x:c>
      <x:c r="R85" s="38" t="n">
        <x:v>0</x:v>
      </x:c>
      <x:c r="S85" s="38" t="n">
        <x:v>0</x:v>
      </x:c>
      <x:c r="T85" s="38" t="n">
        <x:v>0</x:v>
      </x:c>
      <x:c r="U85" s="38" t="str">
        <x:v>成功</x:v>
      </x:c>
      <x:c r="V85" s="38"/>
      <x:c r="W85" s="38"/>
      <x:c r="X85" s="38"/>
      <x:c r="Y85" s="38"/>
      <x:c r="Z85" s="38" t="str">
        <x:v>AI事前比較で固定読取・Excel・PDFを確認。FAXの汚れ部分は断定しない。画像見出しD039。 人最終確認待ち。難易度暫定3/16点。</x:v>
      </x:c>
      <x:c r="AA85" s="38" t="str">
        <x:v>2026/10/08 17:55:13</x:v>
      </x:c>
      <x:c r="AB85" s="38" t="str">
        <x:v>2026/10/08 17:55:13</x:v>
      </x:c>
      <x:c r="AC85" s="38" t="str">
        <x:v>2026/10/08 17:55:13</x:v>
      </x:c>
      <x:c r="AD85" s="38" t="str">
        <x:v>0分00秒</x:v>
      </x:c>
      <x:c r="AE85" s="38" t="str">
        <x:v>2026/10/08 17:55:14</x:v>
      </x:c>
      <x:c r="AF85" s="38" t="str">
        <x:v>2026/10/08 17:55:13</x:v>
      </x:c>
      <x:c r="AG85" s="38" t="str">
        <x:v>2026/10/08 17:55:14</x:v>
      </x:c>
      <x:c r="AH85" s="38" t="str">
        <x:v>0分00秒</x:v>
      </x:c>
      <x:c r="AI85" s="38" t="n">
        <x:v>6</x:v>
      </x:c>
      <x:c r="AJ85" s="38" t="n">
        <x:v>0</x:v>
      </x:c>
      <x:c r="AK85" s="38" t="n">
        <x:v>0</x:v>
      </x:c>
      <x:c r="AL85" s="38" t="str">
        <x:v>反映済</x:v>
      </x:c>
      <x:c r="AM85" s="38" t="str">
        <x:v>固定読取A15 B0 C6 D0。人最終確認待ち。</x:v>
      </x:c>
      <x:c r="AN85" s="38" t="s">
        <x:v>123</x:v>
      </x:c>
      <x:c r="AO85" s="38" t="s">
        <x:v>442</x:v>
      </x:c>
      <x:c r="AP85" s="38" t="s">
        <x:v>125</x:v>
      </x:c>
      <x:c r="AQ85" s="38" t="s">
        <x:v>126</x:v>
      </x:c>
      <x:c r="AR85" s="38" t="s">
        <x:v>443</x:v>
      </x:c>
      <x:c r="AS85" s="38" t="s">
        <x:v>118</x:v>
      </x:c>
      <x:c r="AT85" s="38" t="s">
        <x:v>128</x:v>
      </x:c>
      <x:c r="AU85" s="38" t="s">
        <x:v>129</x:v>
      </x:c>
      <x:c r="AV85" s="38" t="s">
        <x:v>444</x:v>
      </x:c>
    </x:row>
    <x:row r="86" ht="17.649999618530273" customHeight="1">
      <x:c r="A86" s="38" t="n">
        <x:v>80</x:v>
      </x:c>
      <x:c r="B86" s="38" t="str">
        <x:v>2026/10/08</x:v>
      </x:c>
      <x:c r="C86" s="38" t="str">
        <x:v>D080</x:v>
      </x:c>
      <x:c r="D86" s="38" t="str">
        <x:v>T03</x:v>
      </x:c>
      <x:c r="E86" s="38" t="str">
        <x:v>付箋手書きメモ</x:v>
      </x:c>
      <x:c r="F86" s="38" t="str">
        <x:v>群馬県太田市</x:v>
      </x:c>
      <x:c r="G86" s="38" t="str">
        <x:v>栃木県小山市</x:v>
      </x:c>
      <x:c r="H86" s="38" t="str">
        <x:v>低</x:v>
      </x:c>
      <x:c r="I86" s="38" t="str">
        <x:v>なし</x:v>
      </x:c>
      <x:c r="J86" s="38" t="n">
        <x:v>13</x:v>
      </x:c>
      <x:c r="K86" s="38" t="n">
        <x:v>0</x:v>
      </x:c>
      <x:c r="L86" s="38"/>
      <x:c r="M86" s="38"/>
      <x:c r="N86" s="38"/>
      <x:c r="O86" s="38" t="n">
        <x:v>14</x:v>
      </x:c>
      <x:c r="P86" s="38" t="n">
        <x:v>0</x:v>
      </x:c>
      <x:c r="Q86" s="38" t="n">
        <x:v>0</x:v>
      </x:c>
      <x:c r="R86" s="38" t="n">
        <x:v>0</x:v>
      </x:c>
      <x:c r="S86" s="38" t="n">
        <x:v>0</x:v>
      </x:c>
      <x:c r="T86" s="38" t="n">
        <x:v>0</x:v>
      </x:c>
      <x:c r="U86" s="38" t="str">
        <x:v>成功</x:v>
      </x:c>
      <x:c r="V86" s="38"/>
      <x:c r="W86" s="38"/>
      <x:c r="X86" s="38"/>
      <x:c r="Y86" s="38"/>
      <x:c r="Z86" s="38" t="str">
        <x:v>AI事前比較で固定読取・Excel・PDFを確認。画像見出しD040。別添指示書は本画像に含まれず、内容を補完しない。 人最終確認待ち。難易度暫定4/16点。</x:v>
      </x:c>
      <x:c r="AA86" s="38" t="str">
        <x:v>2026/10/08 17:55:14</x:v>
      </x:c>
      <x:c r="AB86" s="38" t="str">
        <x:v>2026/10/08 17:55:14</x:v>
      </x:c>
      <x:c r="AC86" s="38" t="str">
        <x:v>2026/10/08 17:55:14</x:v>
      </x:c>
      <x:c r="AD86" s="38" t="str">
        <x:v>0分00秒</x:v>
      </x:c>
      <x:c r="AE86" s="38" t="str">
        <x:v>2026/10/08 17:55:14</x:v>
      </x:c>
      <x:c r="AF86" s="38" t="str">
        <x:v>2026/10/08 17:55:14</x:v>
      </x:c>
      <x:c r="AG86" s="38" t="str">
        <x:v>2026/10/08 17:55:14</x:v>
      </x:c>
      <x:c r="AH86" s="38" t="str">
        <x:v>0分00秒</x:v>
      </x:c>
      <x:c r="AI86" s="38" t="n">
        <x:v>7</x:v>
      </x:c>
      <x:c r="AJ86" s="38" t="n">
        <x:v>0</x:v>
      </x:c>
      <x:c r="AK86" s="38" t="n">
        <x:v>0</x:v>
      </x:c>
      <x:c r="AL86" s="38" t="str">
        <x:v>反映済</x:v>
      </x:c>
      <x:c r="AM86" s="38" t="str">
        <x:v>固定読取A14 B0 C7 D0。人最終確認待ち。</x:v>
      </x:c>
      <x:c r="AN86" s="38" t="s">
        <x:v>132</x:v>
      </x:c>
      <x:c r="AO86" s="38" t="s">
        <x:v>281</x:v>
      </x:c>
      <x:c r="AP86" s="38" t="s">
        <x:v>134</x:v>
      </x:c>
      <x:c r="AQ86" s="38" t="s">
        <x:v>135</x:v>
      </x:c>
      <x:c r="AR86" s="38" t="s">
        <x:v>445</x:v>
      </x:c>
      <x:c r="AS86" s="38" t="s">
        <x:v>118</x:v>
      </x:c>
      <x:c r="AT86" s="38" t="s">
        <x:v>137</x:v>
      </x:c>
      <x:c r="AU86" s="38" t="s">
        <x:v>138</x:v>
      </x:c>
      <x:c r="AV86" s="38" t="s">
        <x:v>446</x:v>
      </x:c>
    </x:row>
    <x:row r="87" ht="17.649999618530273" customHeight="1">
      <x:c r="A87" s="38">
        <x:v>81</x:v>
      </x:c>
      <x:c r="B87" s="38" t="str">
        <x:v>2026/10/08</x:v>
      </x:c>
      <x:c r="C87" s="38" t="s">
        <x:v>447</x:v>
      </x:c>
      <x:c r="D87" s="38" t="str">
        <x:v>T01</x:v>
      </x:c>
      <x:c r="E87" s="38" t="str">
        <x:v>定型印字帳票</x:v>
      </x:c>
      <x:c r="F87" s="38" t="str">
        <x:v>要確認</x:v>
      </x:c>
      <x:c r="G87" s="38" t="str">
        <x:v>群馬県太田市</x:v>
      </x:c>
      <x:c r="H87" s="38" t="str">
        <x:v>低</x:v>
      </x:c>
      <x:c r="I87" s="38" t="str">
        <x:v>なし</x:v>
      </x:c>
      <x:c r="J87" s="38" t="n">
        <x:v>6</x:v>
      </x:c>
      <x:c r="K87" s="38" t="n">
        <x:v>0.1189</x:v>
      </x:c>
      <x:c r="L87" s="38"/>
      <x:c r="M87" s="38"/>
      <x:c r="N87" s="38"/>
      <x:c r="O87" s="38" t="n">
        <x:v>8</x:v>
      </x:c>
      <x:c r="P87" s="38" t="n">
        <x:v>1</x:v>
      </x:c>
      <x:c r="Q87" s="38" t="n">
        <x:v>0</x:v>
      </x:c>
      <x:c r="R87" s="38" t="n">
        <x:v>0</x:v>
      </x:c>
      <x:c r="S87" s="38" t="n">
        <x:v>0</x:v>
      </x:c>
      <x:c r="T87" s="38" t="n">
        <x:v>0</x:v>
      </x:c>
      <x:c r="U87" s="38" t="str">
        <x:v>成功</x:v>
      </x:c>
      <x:c r="V87" s="38"/>
      <x:c r="W87" s="38"/>
      <x:c r="X87" s="38"/>
      <x:c r="Y87" s="38"/>
      <x:c r="Z87" s="38" t="str">
        <x:v>AI事前比較：抽出A8・B1・C12・D0。人最終確認待ち。難易度暫定2/16点。</x:v>
      </x:c>
      <x:c r="AA87" s="38" t="str">
        <x:v>2026/10/08 18:40:57</x:v>
      </x:c>
      <x:c r="AB87" s="38" t="str">
        <x:v>2026/10/08 18:40:57</x:v>
      </x:c>
      <x:c r="AC87" s="38" t="str">
        <x:v>2026/10/08 18:40:57</x:v>
      </x:c>
      <x:c r="AD87" s="38" t="str">
        <x:v>0分00秒</x:v>
      </x:c>
      <x:c r="AE87" s="38" t="str">
        <x:v>2026/10/08 18:41:04</x:v>
      </x:c>
      <x:c r="AF87" s="38" t="str">
        <x:v>2026/10/08 18:40:57</x:v>
      </x:c>
      <x:c r="AG87" s="38" t="str">
        <x:v>2026/10/08 18:41:03</x:v>
      </x:c>
      <x:c r="AH87" s="38" t="str">
        <x:v>0分05秒</x:v>
      </x:c>
      <x:c r="AI87" s="38" t="n">
        <x:v>12</x:v>
      </x:c>
      <x:c r="AJ87" s="38" t="n">
        <x:v>0</x:v>
      </x:c>
      <x:c r="AK87" s="38" t="n">
        <x:v>1</x:v>
      </x:c>
      <x:c r="AL87" s="38" t="str">
        <x:v>一部反映</x:v>
      </x:c>
      <x:c r="AM87" s="38" t="str">
        <x:v>固定読込結果と帳票を比較。Aのみ転記。未記載・不確実情報を補完していない。人最終確認待ち。</x:v>
      </x:c>
      <x:c r="AN87" s="38" t="s">
        <x:v>113</x:v>
      </x:c>
      <x:c r="AO87" s="38" t="s">
        <x:v>235</x:v>
      </x:c>
      <x:c r="AP87" s="38" t="s">
        <x:v>115</x:v>
      </x:c>
      <x:c r="AQ87" s="38" t="s">
        <x:v>116</x:v>
      </x:c>
      <x:c r="AR87" s="38" t="s">
        <x:v>448</x:v>
      </x:c>
      <x:c r="AS87" s="38" t="s">
        <x:v>118</x:v>
      </x:c>
      <x:c r="AT87" s="38" t="s">
        <x:v>119</x:v>
      </x:c>
      <x:c r="AU87" s="38" t="s">
        <x:v>120</x:v>
      </x:c>
      <x:c r="AV87" s="38" t="s">
        <x:v>449</x:v>
      </x:c>
    </x:row>
    <x:row r="88" ht="17.649999618530273" customHeight="1">
      <x:c r="A88" s="38">
        <x:v>82</x:v>
      </x:c>
      <x:c r="B88" s="38" t="str">
        <x:v>2026/10/08</x:v>
      </x:c>
      <x:c r="C88" s="38" t="s">
        <x:v>450</x:v>
      </x:c>
      <x:c r="D88" s="38" t="str">
        <x:v>T03</x:v>
      </x:c>
      <x:c r="E88" s="38" t="str">
        <x:v>手書きメモ</x:v>
      </x:c>
      <x:c r="F88" s="38" t="str">
        <x:v>横浜市</x:v>
      </x:c>
      <x:c r="G88" s="38" t="str">
        <x:v>長野県松本市</x:v>
      </x:c>
      <x:c r="H88" s="38" t="str">
        <x:v>低</x:v>
      </x:c>
      <x:c r="I88" s="38" t="str">
        <x:v>なし</x:v>
      </x:c>
      <x:c r="J88" s="38" t="n">
        <x:v>11</x:v>
      </x:c>
      <x:c r="K88" s="38" t="n">
        <x:v>0.0941</x:v>
      </x:c>
      <x:c r="L88" s="38"/>
      <x:c r="M88" s="38"/>
      <x:c r="N88" s="38"/>
      <x:c r="O88" s="38" t="n">
        <x:v>12</x:v>
      </x:c>
      <x:c r="P88" s="38" t="n">
        <x:v>0</x:v>
      </x:c>
      <x:c r="Q88" s="38" t="n">
        <x:v>0</x:v>
      </x:c>
      <x:c r="R88" s="38" t="n">
        <x:v>0</x:v>
      </x:c>
      <x:c r="S88" s="38" t="n">
        <x:v>0</x:v>
      </x:c>
      <x:c r="T88" s="38" t="n">
        <x:v>0</x:v>
      </x:c>
      <x:c r="U88" s="38" t="str">
        <x:v>成功</x:v>
      </x:c>
      <x:c r="V88" s="38"/>
      <x:c r="W88" s="38"/>
      <x:c r="X88" s="38"/>
      <x:c r="Y88" s="38"/>
      <x:c r="Z88" s="38" t="str">
        <x:v>AI事前比較：抽出A12・B0・C9・D0。人最終確認待ち。難易度暫定4/16点。</x:v>
      </x:c>
      <x:c r="AA88" s="38" t="str">
        <x:v>2026/10/08 18:41:05</x:v>
      </x:c>
      <x:c r="AB88" s="38" t="str">
        <x:v>2026/10/08 18:41:05</x:v>
      </x:c>
      <x:c r="AC88" s="38" t="str">
        <x:v>2026/10/08 18:41:05</x:v>
      </x:c>
      <x:c r="AD88" s="38" t="str">
        <x:v>0分00秒</x:v>
      </x:c>
      <x:c r="AE88" s="38" t="str">
        <x:v>2026/10/08 18:41:11</x:v>
      </x:c>
      <x:c r="AF88" s="38" t="str">
        <x:v>2026/10/08 18:41:05</x:v>
      </x:c>
      <x:c r="AG88" s="38" t="str">
        <x:v>2026/10/08 18:41:08</x:v>
      </x:c>
      <x:c r="AH88" s="38" t="str">
        <x:v>0分03秒</x:v>
      </x:c>
      <x:c r="AI88" s="38" t="n">
        <x:v>9</x:v>
      </x:c>
      <x:c r="AJ88" s="38" t="n">
        <x:v>0</x:v>
      </x:c>
      <x:c r="AK88" s="38" t="n">
        <x:v>0</x:v>
      </x:c>
      <x:c r="AL88" s="38" t="str">
        <x:v>反映済</x:v>
      </x:c>
      <x:c r="AM88" s="38" t="str">
        <x:v>固定読込結果と帳票を比較。Aのみ転記。未記載・不確実情報を補完していない。人最終確認待ち。</x:v>
      </x:c>
      <x:c r="AN88" s="38" t="s">
        <x:v>132</x:v>
      </x:c>
      <x:c r="AO88" s="38" t="s">
        <x:v>281</x:v>
      </x:c>
      <x:c r="AP88" s="38" t="s">
        <x:v>134</x:v>
      </x:c>
      <x:c r="AQ88" s="38" t="s">
        <x:v>135</x:v>
      </x:c>
      <x:c r="AR88" s="38" t="s">
        <x:v>451</x:v>
      </x:c>
      <x:c r="AS88" s="38" t="s">
        <x:v>118</x:v>
      </x:c>
      <x:c r="AT88" s="38" t="s">
        <x:v>137</x:v>
      </x:c>
      <x:c r="AU88" s="38" t="s">
        <x:v>138</x:v>
      </x:c>
      <x:c r="AV88" s="38" t="s">
        <x:v>452</x:v>
      </x:c>
    </x:row>
    <x:row r="89" ht="17.649999618530273" customHeight="1">
      <x:c r="A89" s="38">
        <x:v>83</x:v>
      </x:c>
      <x:c r="B89" s="38" t="str">
        <x:v>2026/10/08</x:v>
      </x:c>
      <x:c r="C89" s="38" t="s">
        <x:v>453</x:v>
      </x:c>
      <x:c r="D89" s="38" t="str">
        <x:v>T08</x:v>
      </x:c>
      <x:c r="E89" s="38" t="str">
        <x:v>定型印字帳票（連絡先黒塗り）</x:v>
      </x:c>
      <x:c r="F89" s="38" t="str">
        <x:v>千葉県市原市</x:v>
      </x:c>
      <x:c r="G89" s="38" t="str">
        <x:v>要確認</x:v>
      </x:c>
      <x:c r="H89" s="38" t="str">
        <x:v>低</x:v>
      </x:c>
      <x:c r="I89" s="38" t="str">
        <x:v>なし</x:v>
      </x:c>
      <x:c r="J89" s="38" t="n">
        <x:v>6</x:v>
      </x:c>
      <x:c r="K89" s="38" t="n">
        <x:v>0.1183</x:v>
      </x:c>
      <x:c r="L89" s="38"/>
      <x:c r="M89" s="38"/>
      <x:c r="N89" s="38"/>
      <x:c r="O89" s="38" t="n">
        <x:v>9</x:v>
      </x:c>
      <x:c r="P89" s="38" t="n">
        <x:v>2</x:v>
      </x:c>
      <x:c r="Q89" s="38" t="n">
        <x:v>0</x:v>
      </x:c>
      <x:c r="R89" s="38" t="n">
        <x:v>0</x:v>
      </x:c>
      <x:c r="S89" s="38" t="n">
        <x:v>0</x:v>
      </x:c>
      <x:c r="T89" s="38" t="n">
        <x:v>0</x:v>
      </x:c>
      <x:c r="U89" s="38" t="str">
        <x:v>成功</x:v>
      </x:c>
      <x:c r="V89" s="38"/>
      <x:c r="W89" s="38"/>
      <x:c r="X89" s="38"/>
      <x:c r="Y89" s="38"/>
      <x:c r="Z89" s="38" t="str">
        <x:v>AI事前比較：抽出A9・B2・C10・D0。人最終確認待ち。難易度暫定2/16点。</x:v>
      </x:c>
      <x:c r="AA89" s="38" t="str">
        <x:v>2026/10/08 18:42:09</x:v>
      </x:c>
      <x:c r="AB89" s="38" t="str">
        <x:v>2026/10/08 18:42:09</x:v>
      </x:c>
      <x:c r="AC89" s="38" t="str">
        <x:v>2026/10/08 18:42:09</x:v>
      </x:c>
      <x:c r="AD89" s="38" t="str">
        <x:v>0分00秒</x:v>
      </x:c>
      <x:c r="AE89" s="38" t="str">
        <x:v>2026/10/08 18:42:16</x:v>
      </x:c>
      <x:c r="AF89" s="38" t="str">
        <x:v>2026/10/08 18:42:09</x:v>
      </x:c>
      <x:c r="AG89" s="38" t="str">
        <x:v>2026/10/08 18:42:13</x:v>
      </x:c>
      <x:c r="AH89" s="38" t="str">
        <x:v>0分03秒</x:v>
      </x:c>
      <x:c r="AI89" s="38" t="n">
        <x:v>10</x:v>
      </x:c>
      <x:c r="AJ89" s="38" t="n">
        <x:v>0</x:v>
      </x:c>
      <x:c r="AK89" s="38" t="n">
        <x:v>2</x:v>
      </x:c>
      <x:c r="AL89" s="38" t="str">
        <x:v>一部反映</x:v>
      </x:c>
      <x:c r="AM89" s="38" t="str">
        <x:v>固定読込結果と帳票を比較。Aのみ転記。未記載・不確実情報を補完していない。人最終確認待ち。</x:v>
      </x:c>
      <x:c r="AN89" s="38" t="s">
        <x:v>260</x:v>
      </x:c>
      <x:c r="AO89" s="38" t="s">
        <x:v>298</x:v>
      </x:c>
      <x:c r="AP89" s="38" t="s">
        <x:v>261</x:v>
      </x:c>
      <x:c r="AQ89" s="38" t="s">
        <x:v>262</x:v>
      </x:c>
      <x:c r="AR89" s="38" t="s">
        <x:v>454</x:v>
      </x:c>
      <x:c r="AS89" s="38" t="s">
        <x:v>118</x:v>
      </x:c>
      <x:c r="AT89" s="38" t="s">
        <x:v>264</x:v>
      </x:c>
      <x:c r="AU89" s="38" t="s">
        <x:v>265</x:v>
      </x:c>
      <x:c r="AV89" s="38" t="s">
        <x:v>455</x:v>
      </x:c>
    </x:row>
    <x:row r="90" ht="17.649999618530273" customHeight="1">
      <x:c r="A90" s="38">
        <x:v>84</x:v>
      </x:c>
      <x:c r="B90" s="38" t="str">
        <x:v>2026/10/08</x:v>
      </x:c>
      <x:c r="C90" s="38" t="s">
        <x:v>456</x:v>
      </x:c>
      <x:c r="D90" s="38" t="str">
        <x:v>T11</x:v>
      </x:c>
      <x:c r="E90" s="38" t="str">
        <x:v>汚損した印字帳票</x:v>
      </x:c>
      <x:c r="F90" s="38" t="str">
        <x:v>大阪府堺市</x:v>
      </x:c>
      <x:c r="G90" s="38" t="str">
        <x:v>兵庫県神戸市</x:v>
      </x:c>
      <x:c r="H90" s="38" t="str">
        <x:v>低</x:v>
      </x:c>
      <x:c r="I90" s="38" t="str">
        <x:v>なし</x:v>
      </x:c>
      <x:c r="J90" s="38" t="n">
        <x:v>10</x:v>
      </x:c>
      <x:c r="K90" s="38" t="n">
        <x:v>0.129</x:v>
      </x:c>
      <x:c r="L90" s="38"/>
      <x:c r="M90" s="38"/>
      <x:c r="N90" s="38"/>
      <x:c r="O90" s="38" t="n">
        <x:v>12</x:v>
      </x:c>
      <x:c r="P90" s="38" t="n">
        <x:v>0</x:v>
      </x:c>
      <x:c r="Q90" s="38" t="n">
        <x:v>0</x:v>
      </x:c>
      <x:c r="R90" s="38" t="n">
        <x:v>0</x:v>
      </x:c>
      <x:c r="S90" s="38" t="n">
        <x:v>0</x:v>
      </x:c>
      <x:c r="T90" s="38" t="n">
        <x:v>0</x:v>
      </x:c>
      <x:c r="U90" s="38" t="str">
        <x:v>成功</x:v>
      </x:c>
      <x:c r="V90" s="38"/>
      <x:c r="W90" s="38"/>
      <x:c r="X90" s="38"/>
      <x:c r="Y90" s="38"/>
      <x:c r="Z90" s="38" t="str">
        <x:v>AI事前比較：抽出A12・B0・C9・D0。人最終確認待ち。難易度暫定3/16点。</x:v>
      </x:c>
      <x:c r="AA90" s="38" t="str">
        <x:v>2026/10/08 18:42:17</x:v>
      </x:c>
      <x:c r="AB90" s="38" t="str">
        <x:v>2026/10/08 18:42:17</x:v>
      </x:c>
      <x:c r="AC90" s="38" t="str">
        <x:v>2026/10/08 18:42:17</x:v>
      </x:c>
      <x:c r="AD90" s="38" t="str">
        <x:v>0分00秒</x:v>
      </x:c>
      <x:c r="AE90" s="38" t="str">
        <x:v>2026/10/08 18:42:25</x:v>
      </x:c>
      <x:c r="AF90" s="38" t="str">
        <x:v>2026/10/08 18:42:17</x:v>
      </x:c>
      <x:c r="AG90" s="38" t="str">
        <x:v>2026/10/08 18:42:22</x:v>
      </x:c>
      <x:c r="AH90" s="38" t="str">
        <x:v>0分05秒</x:v>
      </x:c>
      <x:c r="AI90" s="38" t="n">
        <x:v>9</x:v>
      </x:c>
      <x:c r="AJ90" s="38" t="n">
        <x:v>0</x:v>
      </x:c>
      <x:c r="AK90" s="38" t="n">
        <x:v>0</x:v>
      </x:c>
      <x:c r="AL90" s="38" t="str">
        <x:v>反映済</x:v>
      </x:c>
      <x:c r="AM90" s="38" t="str">
        <x:v>固定読込結果と帳票を比較。Aのみ転記。未記載・不確実情報を補完していない。人最終確認待ち。</x:v>
      </x:c>
      <x:c r="AN90" s="38" t="s">
        <x:v>318</x:v>
      </x:c>
      <x:c r="AO90" s="38" t="s">
        <x:v>337</x:v>
      </x:c>
      <x:c r="AP90" s="38" t="s">
        <x:v>320</x:v>
      </x:c>
      <x:c r="AQ90" s="38" t="s">
        <x:v>321</x:v>
      </x:c>
      <x:c r="AR90" s="38" t="s">
        <x:v>457</x:v>
      </x:c>
      <x:c r="AS90" s="38" t="s">
        <x:v>118</x:v>
      </x:c>
      <x:c r="AT90" s="38" t="s">
        <x:v>323</x:v>
      </x:c>
      <x:c r="AU90" s="38" t="s">
        <x:v>324</x:v>
      </x:c>
      <x:c r="AV90" s="38" t="s">
        <x:v>458</x:v>
      </x:c>
    </x:row>
    <x:row r="91" ht="17.649999618530273" customHeight="1">
      <x:c r="A91" s="38">
        <x:v>85</x:v>
      </x:c>
      <x:c r="B91" s="38" t="str">
        <x:v>2026/10/08</x:v>
      </x:c>
      <x:c r="C91" s="38" t="s">
        <x:v>459</x:v>
      </x:c>
      <x:c r="D91" s="38" t="str">
        <x:v>T01</x:v>
      </x:c>
      <x:c r="E91" s="38" t="str">
        <x:v>FAX送信票（鮮明）</x:v>
      </x:c>
      <x:c r="F91" s="38" t="str">
        <x:v>茨城県つくば市</x:v>
      </x:c>
      <x:c r="G91" s="38" t="str">
        <x:v>東京都江東区</x:v>
      </x:c>
      <x:c r="H91" s="38" t="str">
        <x:v>低</x:v>
      </x:c>
      <x:c r="I91" s="38" t="str">
        <x:v>なし</x:v>
      </x:c>
      <x:c r="J91" s="38" t="n">
        <x:v>8</x:v>
      </x:c>
      <x:c r="K91" s="38" t="n">
        <x:v>0.1104</x:v>
      </x:c>
      <x:c r="L91" s="38"/>
      <x:c r="M91" s="38"/>
      <x:c r="N91" s="38"/>
      <x:c r="O91" s="38" t="n">
        <x:v>11</x:v>
      </x:c>
      <x:c r="P91" s="38" t="n">
        <x:v>0</x:v>
      </x:c>
      <x:c r="Q91" s="38" t="n">
        <x:v>0</x:v>
      </x:c>
      <x:c r="R91" s="38" t="n">
        <x:v>0</x:v>
      </x:c>
      <x:c r="S91" s="38" t="n">
        <x:v>0</x:v>
      </x:c>
      <x:c r="T91" s="38" t="n">
        <x:v>0</x:v>
      </x:c>
      <x:c r="U91" s="38" t="str">
        <x:v>成功</x:v>
      </x:c>
      <x:c r="V91" s="38"/>
      <x:c r="W91" s="38"/>
      <x:c r="X91" s="38"/>
      <x:c r="Y91" s="38"/>
      <x:c r="Z91" s="38" t="str">
        <x:v>AI事前比較：抽出A11・B0・C10・D0。人最終確認待ち。難易度暫定2/16点。</x:v>
      </x:c>
      <x:c r="AA91" s="38" t="str">
        <x:v>2026/10/08 18:43:32</x:v>
      </x:c>
      <x:c r="AB91" s="38" t="str">
        <x:v>2026/10/08 18:43:32</x:v>
      </x:c>
      <x:c r="AC91" s="38" t="str">
        <x:v>2026/10/08 18:43:32</x:v>
      </x:c>
      <x:c r="AD91" s="38" t="str">
        <x:v>0分00秒</x:v>
      </x:c>
      <x:c r="AE91" s="38" t="str">
        <x:v>2026/10/08 18:43:39</x:v>
      </x:c>
      <x:c r="AF91" s="38" t="str">
        <x:v>2026/10/08 18:43:32</x:v>
      </x:c>
      <x:c r="AG91" s="38" t="str">
        <x:v>2026/10/08 18:43:37</x:v>
      </x:c>
      <x:c r="AH91" s="38" t="str">
        <x:v>0分04秒</x:v>
      </x:c>
      <x:c r="AI91" s="38" t="n">
        <x:v>10</x:v>
      </x:c>
      <x:c r="AJ91" s="38" t="n">
        <x:v>0</x:v>
      </x:c>
      <x:c r="AK91" s="38" t="n">
        <x:v>0</x:v>
      </x:c>
      <x:c r="AL91" s="38" t="str">
        <x:v>反映済</x:v>
      </x:c>
      <x:c r="AM91" s="38" t="str">
        <x:v>固定読込結果と帳票を比較。Aのみ転記。未記載・不確実情報を補完していない。人最終確認待ち。</x:v>
      </x:c>
      <x:c r="AN91" s="38" t="s">
        <x:v>113</x:v>
      </x:c>
      <x:c r="AO91" s="38" t="s">
        <x:v>285</x:v>
      </x:c>
      <x:c r="AP91" s="38" t="s">
        <x:v>115</x:v>
      </x:c>
      <x:c r="AQ91" s="38" t="s">
        <x:v>116</x:v>
      </x:c>
      <x:c r="AR91" s="38" t="s">
        <x:v>460</x:v>
      </x:c>
      <x:c r="AS91" s="38" t="s">
        <x:v>118</x:v>
      </x:c>
      <x:c r="AT91" s="38" t="s">
        <x:v>119</x:v>
      </x:c>
      <x:c r="AU91" s="38" t="s">
        <x:v>120</x:v>
      </x:c>
      <x:c r="AV91" s="38" t="s">
        <x:v>461</x:v>
      </x:c>
    </x:row>
    <x:row r="92" ht="17.649999618530273" customHeight="1">
      <x:c r="A92" s="38">
        <x:v>86</x:v>
      </x:c>
      <x:c r="B92" s="38" t="str">
        <x:v>2026/10/08</x:v>
      </x:c>
      <x:c r="C92" s="38" t="s">
        <x:v>462</x:v>
      </x:c>
      <x:c r="D92" s="38" t="str">
        <x:v>T06</x:v>
      </x:c>
      <x:c r="E92" s="38" t="str">
        <x:v>手書きメモ（午前中必着）</x:v>
      </x:c>
      <x:c r="F92" s="38" t="str">
        <x:v>千葉県柏市</x:v>
      </x:c>
      <x:c r="G92" s="38" t="str">
        <x:v>神奈川県厚木市</x:v>
      </x:c>
      <x:c r="H92" s="38" t="str">
        <x:v>低</x:v>
      </x:c>
      <x:c r="I92" s="38" t="str">
        <x:v>なし</x:v>
      </x:c>
      <x:c r="J92" s="38" t="n">
        <x:v>11</x:v>
      </x:c>
      <x:c r="K92" s="38" t="n">
        <x:v>0.072</x:v>
      </x:c>
      <x:c r="L92" s="38"/>
      <x:c r="M92" s="38"/>
      <x:c r="N92" s="38"/>
      <x:c r="O92" s="38" t="n">
        <x:v>12</x:v>
      </x:c>
      <x:c r="P92" s="38" t="n">
        <x:v>0</x:v>
      </x:c>
      <x:c r="Q92" s="38" t="n">
        <x:v>0</x:v>
      </x:c>
      <x:c r="R92" s="38" t="n">
        <x:v>0</x:v>
      </x:c>
      <x:c r="S92" s="38" t="n">
        <x:v>0</x:v>
      </x:c>
      <x:c r="T92" s="38" t="n">
        <x:v>0</x:v>
      </x:c>
      <x:c r="U92" s="38" t="str">
        <x:v>成功</x:v>
      </x:c>
      <x:c r="V92" s="38"/>
      <x:c r="W92" s="38"/>
      <x:c r="X92" s="38"/>
      <x:c r="Y92" s="38"/>
      <x:c r="Z92" s="38" t="str">
        <x:v>AI事前比較：抽出A12・B0・C9・D0。人最終確認待ち。難易度暫定5/16点。</x:v>
      </x:c>
      <x:c r="AA92" s="38" t="str">
        <x:v>2026/10/08 18:43:40</x:v>
      </x:c>
      <x:c r="AB92" s="38" t="str">
        <x:v>2026/10/08 18:43:40</x:v>
      </x:c>
      <x:c r="AC92" s="38" t="str">
        <x:v>2026/10/08 18:43:40</x:v>
      </x:c>
      <x:c r="AD92" s="38" t="str">
        <x:v>0分00秒</x:v>
      </x:c>
      <x:c r="AE92" s="38" t="str">
        <x:v>2026/10/08 18:43:44</x:v>
      </x:c>
      <x:c r="AF92" s="38" t="str">
        <x:v>2026/10/08 18:43:40</x:v>
      </x:c>
      <x:c r="AG92" s="38" t="str">
        <x:v>2026/10/08 18:43:43</x:v>
      </x:c>
      <x:c r="AH92" s="38" t="str">
        <x:v>0分02秒</x:v>
      </x:c>
      <x:c r="AI92" s="38" t="n">
        <x:v>9</x:v>
      </x:c>
      <x:c r="AJ92" s="38" t="n">
        <x:v>0</x:v>
      </x:c>
      <x:c r="AK92" s="38" t="n">
        <x:v>0</x:v>
      </x:c>
      <x:c r="AL92" s="38" t="str">
        <x:v>反映済</x:v>
      </x:c>
      <x:c r="AM92" s="38" t="str">
        <x:v>固定読込結果と帳票を比較。Aのみ転記。未記載・不確実情報を補完していない。人最終確認待ち。</x:v>
      </x:c>
      <x:c r="AN92" s="38" t="s">
        <x:v>168</x:v>
      </x:c>
      <x:c r="AO92" s="38" t="s">
        <x:v>281</x:v>
      </x:c>
      <x:c r="AP92" s="38" t="s">
        <x:v>170</x:v>
      </x:c>
      <x:c r="AQ92" s="38" t="s">
        <x:v>171</x:v>
      </x:c>
      <x:c r="AR92" s="38" t="s">
        <x:v>463</x:v>
      </x:c>
      <x:c r="AS92" s="38" t="s">
        <x:v>118</x:v>
      </x:c>
      <x:c r="AT92" s="38" t="s">
        <x:v>173</x:v>
      </x:c>
      <x:c r="AU92" s="38" t="s">
        <x:v>174</x:v>
      </x:c>
      <x:c r="AV92" s="38" t="s">
        <x:v>464</x:v>
      </x:c>
    </x:row>
    <x:row r="93" ht="17.649999618530273" customHeight="1">
      <x:c r="A93" s="38">
        <x:v>87</x:v>
      </x:c>
      <x:c r="B93" s="38" t="str">
        <x:v>2026/10/08</x:v>
      </x:c>
      <x:c r="C93" s="38" t="s">
        <x:v>465</x:v>
      </x:c>
      <x:c r="D93" s="38" t="str">
        <x:v>T01</x:v>
      </x:c>
      <x:c r="E93" s="38" t="str">
        <x:v>定型印字帳票</x:v>
      </x:c>
      <x:c r="F93" s="38" t="str">
        <x:v>愛知県一宮市</x:v>
      </x:c>
      <x:c r="G93" s="38" t="str">
        <x:v>三重県四日市</x:v>
      </x:c>
      <x:c r="H93" s="38" t="str">
        <x:v>低</x:v>
      </x:c>
      <x:c r="I93" s="38" t="str">
        <x:v>なし</x:v>
      </x:c>
      <x:c r="J93" s="38" t="n">
        <x:v>7</x:v>
      </x:c>
      <x:c r="K93" s="38" t="n">
        <x:v>0.0612</x:v>
      </x:c>
      <x:c r="L93" s="38"/>
      <x:c r="M93" s="38"/>
      <x:c r="N93" s="38"/>
      <x:c r="O93" s="38" t="n">
        <x:v>9</x:v>
      </x:c>
      <x:c r="P93" s="38" t="n">
        <x:v>0</x:v>
      </x:c>
      <x:c r="Q93" s="38" t="n">
        <x:v>0</x:v>
      </x:c>
      <x:c r="R93" s="38" t="n">
        <x:v>0</x:v>
      </x:c>
      <x:c r="S93" s="38" t="n">
        <x:v>0</x:v>
      </x:c>
      <x:c r="T93" s="38" t="n">
        <x:v>0</x:v>
      </x:c>
      <x:c r="U93" s="38" t="str">
        <x:v>成功</x:v>
      </x:c>
      <x:c r="V93" s="38"/>
      <x:c r="W93" s="38"/>
      <x:c r="X93" s="38"/>
      <x:c r="Y93" s="38"/>
      <x:c r="Z93" s="38" t="str">
        <x:v>AI事前比較：抽出A9・B0・C12・D0。人最終確認待ち。難易度暫定1/16点。</x:v>
      </x:c>
      <x:c r="AA93" s="38" t="str">
        <x:v>2026/10/08 18:43:45</x:v>
      </x:c>
      <x:c r="AB93" s="38" t="str">
        <x:v>2026/10/08 18:43:45</x:v>
      </x:c>
      <x:c r="AC93" s="38" t="str">
        <x:v>2026/10/08 18:43:45</x:v>
      </x:c>
      <x:c r="AD93" s="38" t="str">
        <x:v>0分00秒</x:v>
      </x:c>
      <x:c r="AE93" s="38" t="str">
        <x:v>2026/10/08 18:43:49</x:v>
      </x:c>
      <x:c r="AF93" s="38" t="str">
        <x:v>2026/10/08 18:43:45</x:v>
      </x:c>
      <x:c r="AG93" s="38" t="str">
        <x:v>2026/10/08 18:43:47</x:v>
      </x:c>
      <x:c r="AH93" s="38" t="str">
        <x:v>0分01秒</x:v>
      </x:c>
      <x:c r="AI93" s="38" t="n">
        <x:v>12</x:v>
      </x:c>
      <x:c r="AJ93" s="38" t="n">
        <x:v>0</x:v>
      </x:c>
      <x:c r="AK93" s="38" t="n">
        <x:v>0</x:v>
      </x:c>
      <x:c r="AL93" s="38" t="str">
        <x:v>反映済</x:v>
      </x:c>
      <x:c r="AM93" s="38" t="str">
        <x:v>固定読込結果と帳票を比較。Aのみ転記。未記載・不確実情報を補完していない。人最終確認待ち。</x:v>
      </x:c>
      <x:c r="AN93" s="38" t="s">
        <x:v>113</x:v>
      </x:c>
      <x:c r="AO93" s="38" t="s">
        <x:v>466</x:v>
      </x:c>
      <x:c r="AP93" s="38" t="s">
        <x:v>115</x:v>
      </x:c>
      <x:c r="AQ93" s="38" t="s">
        <x:v>116</x:v>
      </x:c>
      <x:c r="AR93" s="38" t="s">
        <x:v>467</x:v>
      </x:c>
      <x:c r="AS93" s="38" t="s">
        <x:v>118</x:v>
      </x:c>
      <x:c r="AT93" s="38" t="s">
        <x:v>119</x:v>
      </x:c>
      <x:c r="AU93" s="38" t="s">
        <x:v>120</x:v>
      </x:c>
      <x:c r="AV93" s="38" t="s">
        <x:v>468</x:v>
      </x:c>
    </x:row>
    <x:row r="94" ht="17.649999618530273" customHeight="1">
      <x:c r="A94" s="38">
        <x:v>88</x:v>
      </x:c>
      <x:c r="B94" s="38"/>
      <x:c r="C94" s="38" t="s">
        <x:v>469</x:v>
      </x:c>
      <x:c r="D94" s="38" t="s">
        <x:v>470</x:v>
      </x:c>
      <x:c r="E94" s="38" t="s">
        <x:v>471</x:v>
      </x:c>
      <x:c r="F94" s="38"/>
      <x:c r="G94" s="38"/>
      <x:c r="H94" s="38"/>
      <x:c r="I94" s="38"/>
      <x:c r="J94" s="38"/>
      <x:c r="K94" s="38"/>
      <x:c r="L94" s="38"/>
      <x:c r="M94" s="38"/>
      <x:c r="N94" s="38"/>
      <x:c r="O94" s="38"/>
      <x:c r="P94" s="38"/>
      <x:c r="Q94" s="38"/>
      <x:c r="R94" s="38"/>
      <x:c r="S94" s="38"/>
      <x:c r="T94" s="38"/>
      <x:c r="U94" s="38"/>
      <x:c r="V94" s="38"/>
      <x:c r="W94" s="38"/>
      <x:c r="X94" s="38"/>
      <x:c r="Y94" s="38"/>
      <x:c r="Z94" s="38"/>
      <x:c r="AA94" s="38"/>
      <x:c r="AB94" s="38"/>
      <x:c r="AC94" s="38"/>
      <x:c r="AD94" s="38"/>
      <x:c r="AE94" s="38"/>
      <x:c r="AF94" s="38"/>
      <x:c r="AG94" s="38"/>
      <x:c r="AH94" s="38"/>
      <x:c r="AI94" s="38"/>
      <x:c r="AJ94" s="38"/>
      <x:c r="AK94" s="38"/>
      <x:c r="AL94" s="38"/>
      <x:c r="AM94" s="38"/>
      <x:c r="AN94" s="38" t="s">
        <x:v>168</x:v>
      </x:c>
      <x:c r="AO94" s="38" t="s">
        <x:v>281</x:v>
      </x:c>
      <x:c r="AP94" s="38" t="s">
        <x:v>170</x:v>
      </x:c>
      <x:c r="AQ94" s="38" t="s">
        <x:v>171</x:v>
      </x:c>
      <x:c r="AR94" s="38" t="s">
        <x:v>472</x:v>
      </x:c>
      <x:c r="AS94" s="38" t="s">
        <x:v>118</x:v>
      </x:c>
      <x:c r="AT94" s="38" t="s">
        <x:v>173</x:v>
      </x:c>
      <x:c r="AU94" s="38" t="s">
        <x:v>174</x:v>
      </x:c>
      <x:c r="AV94" s="38" t="s">
        <x:v>473</x:v>
      </x:c>
    </x:row>
    <x:row r="95" ht="17.649999618530273" customHeight="1">
      <x:c r="A95" s="38">
        <x:v>89</x:v>
      </x:c>
      <x:c r="B95" s="38"/>
      <x:c r="C95" s="38" t="s">
        <x:v>474</x:v>
      </x:c>
      <x:c r="D95" s="38" t="s">
        <x:v>475</x:v>
      </x:c>
      <x:c r="E95" s="38" t="s">
        <x:v>476</x:v>
      </x:c>
      <x:c r="F95" s="38"/>
      <x:c r="G95" s="38"/>
      <x:c r="H95" s="38"/>
      <x:c r="I95" s="38"/>
      <x:c r="J95" s="38"/>
      <x:c r="K95" s="38"/>
      <x:c r="L95" s="38"/>
      <x:c r="M95" s="38"/>
      <x:c r="N95" s="38"/>
      <x:c r="O95" s="38"/>
      <x:c r="P95" s="38"/>
      <x:c r="Q95" s="38"/>
      <x:c r="R95" s="38"/>
      <x:c r="S95" s="38"/>
      <x:c r="T95" s="38"/>
      <x:c r="U95" s="38"/>
      <x:c r="V95" s="38"/>
      <x:c r="W95" s="38"/>
      <x:c r="X95" s="38"/>
      <x:c r="Y95" s="38"/>
      <x:c r="Z95" s="38"/>
      <x:c r="AA95" s="38"/>
      <x:c r="AB95" s="38"/>
      <x:c r="AC95" s="38"/>
      <x:c r="AD95" s="38"/>
      <x:c r="AE95" s="38"/>
      <x:c r="AF95" s="38"/>
      <x:c r="AG95" s="38"/>
      <x:c r="AH95" s="38"/>
      <x:c r="AI95" s="38"/>
      <x:c r="AJ95" s="38"/>
      <x:c r="AK95" s="38"/>
      <x:c r="AL95" s="38"/>
      <x:c r="AM95" s="38"/>
      <x:c r="AN95" s="38" t="s">
        <x:v>373</x:v>
      </x:c>
      <x:c r="AO95" s="38" t="s">
        <x:v>319</x:v>
      </x:c>
      <x:c r="AP95" s="38" t="s">
        <x:v>375</x:v>
      </x:c>
      <x:c r="AQ95" s="38" t="s">
        <x:v>376</x:v>
      </x:c>
      <x:c r="AR95" s="38" t="s">
        <x:v>477</x:v>
      </x:c>
      <x:c r="AS95" s="38" t="s">
        <x:v>118</x:v>
      </x:c>
      <x:c r="AT95" s="38" t="s">
        <x:v>378</x:v>
      </x:c>
      <x:c r="AU95" s="38" t="s">
        <x:v>379</x:v>
      </x:c>
      <x:c r="AV95" s="38" t="s">
        <x:v>478</x:v>
      </x:c>
    </x:row>
    <x:row r="96" ht="26.399999618530273" customHeight="1">
      <x:c r="A96" s="38">
        <x:v>90</x:v>
      </x:c>
      <x:c r="B96" s="38"/>
      <x:c r="C96" s="38" t="s">
        <x:v>479</x:v>
      </x:c>
      <x:c r="D96" s="38" t="s">
        <x:v>480</x:v>
      </x:c>
      <x:c r="E96" s="38" t="s">
        <x:v>481</x:v>
      </x:c>
      <x:c r="F96" s="38"/>
      <x:c r="G96" s="38"/>
      <x:c r="H96" s="38"/>
      <x:c r="I96" s="38"/>
      <x:c r="J96" s="38"/>
      <x:c r="K96" s="38"/>
      <x:c r="L96" s="38"/>
      <x:c r="M96" s="38"/>
      <x:c r="N96" s="38"/>
      <x:c r="O96" s="38"/>
      <x:c r="P96" s="38"/>
      <x:c r="Q96" s="38"/>
      <x:c r="R96" s="38"/>
      <x:c r="S96" s="38"/>
      <x:c r="T96" s="38"/>
      <x:c r="U96" s="38"/>
      <x:c r="V96" s="38"/>
      <x:c r="W96" s="38"/>
      <x:c r="X96" s="38"/>
      <x:c r="Y96" s="38"/>
      <x:c r="Z96" s="38"/>
      <x:c r="AA96" s="38"/>
      <x:c r="AB96" s="38"/>
      <x:c r="AC96" s="38"/>
      <x:c r="AD96" s="38"/>
      <x:c r="AE96" s="38"/>
      <x:c r="AF96" s="38"/>
      <x:c r="AG96" s="38"/>
      <x:c r="AH96" s="38"/>
      <x:c r="AI96" s="38"/>
      <x:c r="AJ96" s="38"/>
      <x:c r="AK96" s="38"/>
      <x:c r="AL96" s="38"/>
      <x:c r="AM96" s="38"/>
      <x:c r="AN96" s="38" t="s">
        <x:v>226</x:v>
      </x:c>
      <x:c r="AO96" s="38" t="s">
        <x:v>482</x:v>
      </x:c>
      <x:c r="AP96" s="38" t="s">
        <x:v>228</x:v>
      </x:c>
      <x:c r="AQ96" s="38" t="s">
        <x:v>229</x:v>
      </x:c>
      <x:c r="AR96" s="38" t="s">
        <x:v>483</x:v>
      </x:c>
      <x:c r="AS96" s="38" t="s">
        <x:v>118</x:v>
      </x:c>
      <x:c r="AT96" s="38" t="s">
        <x:v>231</x:v>
      </x:c>
      <x:c r="AU96" s="38" t="s">
        <x:v>232</x:v>
      </x:c>
      <x:c r="AV96" s="38" t="s">
        <x:v>484</x:v>
      </x:c>
    </x:row>
  </x:sheetData>
  <x:mergeCells>
    <x:mergeCell ref="A1:XFD1"/>
  </x:mergeCells>
  <x:pageMargins left="0.7" right="0.7" top="0.75" bottom="0.75" header="0.3" footer="0.3"/>
</x:worksheet>
</file>

<file path=xl/worksheets/sheet3.xml><?xml version="1.0" encoding="utf-8"?>
<x:worksheet xmlns:x="http://schemas.openxmlformats.org/spreadsheetml/2006/main">
  <x:sheetFormatPr defaultRowHeight="18"/>
  <x:cols>
    <x:col min="1" max="1" width="9" customWidth="1"/>
    <x:col min="2" max="2" width="22" customWidth="1"/>
    <x:col min="3" max="3" width="30" customWidth="1"/>
    <x:col min="4" max="4" width="48" customWidth="1"/>
    <x:col min="5" max="5" width="24" customWidth="1"/>
    <x:col min="6" max="6" width="38" customWidth="1"/>
    <x:col min="7" max="7" width="28" customWidth="1"/>
  </x:cols>
  <x:sheetData>
    <x:row r="1" ht="18.649999618530273" customHeight="1">
      <x:c r="A1" s="143" t="s">
        <x:v>485</x:v>
      </x:c>
      <x:c r="B1" s="143"/>
      <x:c r="C1" s="143"/>
      <x:c r="D1" s="143"/>
      <x:c r="E1" s="143"/>
      <x:c r="F1" s="143"/>
      <x:c r="G1" s="143"/>
    </x:row>
    <x:row r="2" ht="14.649999618530273" customHeight="1">
      <x:c r="A2" s="144" t="s">
        <x:v>486</x:v>
      </x:c>
      <x:c r="B2" s="144"/>
      <x:c r="C2" s="144"/>
      <x:c r="D2" s="144"/>
      <x:c r="E2" s="144"/>
      <x:c r="F2" s="144"/>
      <x:c r="G2" s="144"/>
    </x:row>
    <x:row r="3" ht="10" customHeight="1">
      <x:c r="A3" s="44" t="s">
        <x:v>67</x:v>
      </x:c>
      <x:c r="B3" s="44" t="s">
        <x:v>103</x:v>
      </x:c>
      <x:c r="C3" s="44" t="s">
        <x:v>105</x:v>
      </x:c>
      <x:c r="D3" s="44" t="s">
        <x:v>106</x:v>
      </x:c>
      <x:c r="E3" s="44" t="s">
        <x:v>86</x:v>
      </x:c>
      <x:c r="F3" s="44" t="s">
        <x:v>109</x:v>
      </x:c>
      <x:c r="G3" s="44" t="s">
        <x:v>487</x:v>
      </x:c>
    </x:row>
    <x:row r="4" ht="17.649999618530273" customHeight="1">
      <x:c r="A4" s="38" t="s">
        <x:v>488</x:v>
      </x:c>
      <x:c r="B4" s="38" t="s">
        <x:v>113</x:v>
      </x:c>
      <x:c r="C4" s="38" t="s">
        <x:v>115</x:v>
      </x:c>
      <x:c r="D4" s="38" t="s">
        <x:v>116</x:v>
      </x:c>
      <x:c r="E4" s="38" t="s">
        <x:v>118</x:v>
      </x:c>
      <x:c r="F4" s="38" t="s">
        <x:v>119</x:v>
      </x:c>
      <x:c r="G4" s="38" t="s">
        <x:v>120</x:v>
      </x:c>
    </x:row>
    <x:row r="5" ht="17.649999618530273" customHeight="1">
      <x:c r="A5" s="38" t="s">
        <x:v>489</x:v>
      </x:c>
      <x:c r="B5" s="38" t="s">
        <x:v>123</x:v>
      </x:c>
      <x:c r="C5" s="38" t="s">
        <x:v>125</x:v>
      </x:c>
      <x:c r="D5" s="38" t="s">
        <x:v>126</x:v>
      </x:c>
      <x:c r="E5" s="38" t="s">
        <x:v>118</x:v>
      </x:c>
      <x:c r="F5" s="38" t="s">
        <x:v>128</x:v>
      </x:c>
      <x:c r="G5" s="38" t="s">
        <x:v>129</x:v>
      </x:c>
    </x:row>
    <x:row r="6" ht="17.649999618530273" customHeight="1">
      <x:c r="A6" s="38" t="s">
        <x:v>490</x:v>
      </x:c>
      <x:c r="B6" s="38" t="s">
        <x:v>132</x:v>
      </x:c>
      <x:c r="C6" s="38" t="s">
        <x:v>134</x:v>
      </x:c>
      <x:c r="D6" s="38" t="s">
        <x:v>135</x:v>
      </x:c>
      <x:c r="E6" s="38" t="s">
        <x:v>118</x:v>
      </x:c>
      <x:c r="F6" s="38" t="s">
        <x:v>137</x:v>
      </x:c>
      <x:c r="G6" s="38" t="s">
        <x:v>138</x:v>
      </x:c>
    </x:row>
    <x:row r="7" ht="17.649999618530273" customHeight="1">
      <x:c r="A7" s="38" t="s">
        <x:v>491</x:v>
      </x:c>
      <x:c r="B7" s="38" t="s">
        <x:v>200</x:v>
      </x:c>
      <x:c r="C7" s="38" t="s">
        <x:v>201</x:v>
      </x:c>
      <x:c r="D7" s="38" t="s">
        <x:v>202</x:v>
      </x:c>
      <x:c r="E7" s="38" t="s">
        <x:v>118</x:v>
      </x:c>
      <x:c r="F7" s="38" t="s">
        <x:v>204</x:v>
      </x:c>
      <x:c r="G7" s="38" t="s">
        <x:v>205</x:v>
      </x:c>
    </x:row>
    <x:row r="8" ht="17.649999618530273" customHeight="1">
      <x:c r="A8" s="38" t="s">
        <x:v>492</x:v>
      </x:c>
      <x:c r="B8" s="38" t="s">
        <x:v>158</x:v>
      </x:c>
      <x:c r="C8" s="38" t="s">
        <x:v>160</x:v>
      </x:c>
      <x:c r="D8" s="38" t="s">
        <x:v>161</x:v>
      </x:c>
      <x:c r="E8" s="38" t="s">
        <x:v>163</x:v>
      </x:c>
      <x:c r="F8" s="38" t="s">
        <x:v>164</x:v>
      </x:c>
      <x:c r="G8" s="38" t="s">
        <x:v>165</x:v>
      </x:c>
    </x:row>
    <x:row r="9" ht="17.649999618530273" customHeight="1">
      <x:c r="A9" s="38" t="s">
        <x:v>470</x:v>
      </x:c>
      <x:c r="B9" s="38" t="s">
        <x:v>168</x:v>
      </x:c>
      <x:c r="C9" s="38" t="s">
        <x:v>170</x:v>
      </x:c>
      <x:c r="D9" s="38" t="s">
        <x:v>171</x:v>
      </x:c>
      <x:c r="E9" s="38" t="s">
        <x:v>118</x:v>
      </x:c>
      <x:c r="F9" s="38" t="s">
        <x:v>173</x:v>
      </x:c>
      <x:c r="G9" s="38" t="s">
        <x:v>174</x:v>
      </x:c>
    </x:row>
    <x:row r="10" ht="17.649999618530273" customHeight="1">
      <x:c r="A10" s="38" t="s">
        <x:v>493</x:v>
      </x:c>
      <x:c r="B10" s="38" t="s">
        <x:v>141</x:v>
      </x:c>
      <x:c r="C10" s="38" t="s">
        <x:v>143</x:v>
      </x:c>
      <x:c r="D10" s="38" t="s">
        <x:v>144</x:v>
      </x:c>
      <x:c r="E10" s="38" t="s">
        <x:v>118</x:v>
      </x:c>
      <x:c r="F10" s="38" t="s">
        <x:v>146</x:v>
      </x:c>
      <x:c r="G10" s="38" t="s">
        <x:v>147</x:v>
      </x:c>
    </x:row>
    <x:row r="11" ht="26.399999618530273" customHeight="1">
      <x:c r="A11" s="38" t="s">
        <x:v>494</x:v>
      </x:c>
      <x:c r="B11" s="38" t="s">
        <x:v>260</x:v>
      </x:c>
      <x:c r="C11" s="38" t="s">
        <x:v>261</x:v>
      </x:c>
      <x:c r="D11" s="38" t="s">
        <x:v>262</x:v>
      </x:c>
      <x:c r="E11" s="38" t="s">
        <x:v>118</x:v>
      </x:c>
      <x:c r="F11" s="38" t="s">
        <x:v>264</x:v>
      </x:c>
      <x:c r="G11" s="38" t="s">
        <x:v>265</x:v>
      </x:c>
    </x:row>
    <x:row r="12" ht="17.649999618530273" customHeight="1">
      <x:c r="A12" s="38" t="s">
        <x:v>495</x:v>
      </x:c>
      <x:c r="B12" s="38" t="s">
        <x:v>191</x:v>
      </x:c>
      <x:c r="C12" s="38" t="s">
        <x:v>192</x:v>
      </x:c>
      <x:c r="D12" s="38" t="s">
        <x:v>193</x:v>
      </x:c>
      <x:c r="E12" s="38" t="s">
        <x:v>195</x:v>
      </x:c>
      <x:c r="F12" s="38" t="s">
        <x:v>196</x:v>
      </x:c>
      <x:c r="G12" s="38" t="s">
        <x:v>197</x:v>
      </x:c>
    </x:row>
    <x:row r="13" ht="17.649999618530273" customHeight="1">
      <x:c r="A13" s="38" t="s">
        <x:v>496</x:v>
      </x:c>
      <x:c r="B13" s="38" t="s">
        <x:v>272</x:v>
      </x:c>
      <x:c r="C13" s="38" t="s">
        <x:v>274</x:v>
      </x:c>
      <x:c r="D13" s="38" t="s">
        <x:v>275</x:v>
      </x:c>
      <x:c r="E13" s="38" t="s">
        <x:v>118</x:v>
      </x:c>
      <x:c r="F13" s="38" t="s">
        <x:v>277</x:v>
      </x:c>
      <x:c r="G13" s="38" t="s">
        <x:v>278</x:v>
      </x:c>
    </x:row>
    <x:row r="14" ht="17.649999618530273" customHeight="1">
      <x:c r="A14" s="38" t="s">
        <x:v>497</x:v>
      </x:c>
      <x:c r="B14" s="38" t="s">
        <x:v>318</x:v>
      </x:c>
      <x:c r="C14" s="38" t="s">
        <x:v>320</x:v>
      </x:c>
      <x:c r="D14" s="38" t="s">
        <x:v>321</x:v>
      </x:c>
      <x:c r="E14" s="38" t="s">
        <x:v>118</x:v>
      </x:c>
      <x:c r="F14" s="38" t="s">
        <x:v>323</x:v>
      </x:c>
      <x:c r="G14" s="38" t="s">
        <x:v>324</x:v>
      </x:c>
    </x:row>
    <x:row r="15" ht="17.649999618530273" customHeight="1">
      <x:c r="A15" s="38" t="s">
        <x:v>475</x:v>
      </x:c>
      <x:c r="B15" s="38" t="s">
        <x:v>373</x:v>
      </x:c>
      <x:c r="C15" s="38" t="s">
        <x:v>375</x:v>
      </x:c>
      <x:c r="D15" s="38" t="s">
        <x:v>376</x:v>
      </x:c>
      <x:c r="E15" s="38" t="s">
        <x:v>118</x:v>
      </x:c>
      <x:c r="F15" s="38" t="s">
        <x:v>378</x:v>
      </x:c>
      <x:c r="G15" s="38" t="s">
        <x:v>379</x:v>
      </x:c>
    </x:row>
    <x:row r="16" ht="17.649999618530273" customHeight="1">
      <x:c r="A16" s="38" t="s">
        <x:v>480</x:v>
      </x:c>
      <x:c r="B16" s="38" t="s">
        <x:v>226</x:v>
      </x:c>
      <x:c r="C16" s="38" t="s">
        <x:v>228</x:v>
      </x:c>
      <x:c r="D16" s="38" t="s">
        <x:v>229</x:v>
      </x:c>
      <x:c r="E16" s="38" t="s">
        <x:v>118</x:v>
      </x:c>
      <x:c r="F16" s="38" t="s">
        <x:v>231</x:v>
      </x:c>
      <x:c r="G16" s="38" t="s">
        <x:v>232</x:v>
      </x:c>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8"/>
  <x:cols>
    <x:col min="1" max="1" width="16" customWidth="1"/>
    <x:col min="2" max="2" width="26" customWidth="1"/>
    <x:col min="3" max="3" width="32" customWidth="1"/>
    <x:col min="4" max="4" width="48" customWidth="1"/>
  </x:cols>
  <x:sheetData>
    <x:row r="1">
      <x:c r="A1" s="41" t="s">
        <x:v>498</x:v>
      </x:c>
      <x:c r="B1" s="41"/>
      <x:c r="C1" s="41"/>
      <x:c r="D1" s="41"/>
    </x:row>
    <x:row r="2">
      <x:c r="A2" s="38"/>
      <x:c r="B2" s="38"/>
      <x:c r="C2" s="38"/>
      <x:c r="D2" s="38"/>
    </x:row>
    <x:row r="3">
      <x:c r="A3" s="38" t="s">
        <x:v>499</x:v>
      </x:c>
      <x:c r="B3" s="38" t="s">
        <x:v>500</x:v>
      </x:c>
      <x:c r="C3" s="38" t="s">
        <x:v>501</x:v>
      </x:c>
      <x:c r="D3" s="38" t="s">
        <x:v>502</x:v>
      </x:c>
    </x:row>
    <x:row r="4" ht="36">
      <x:c r="A4" s="38" t="s">
        <x:v>503</x:v>
      </x:c>
      <x:c r="B4" s="38" t="s">
        <x:v>504</x:v>
      </x:c>
      <x:c r="C4" s="38" t="s">
        <x:v>505</x:v>
      </x:c>
      <x:c r="D4" s="38" t="s">
        <x:v>506</x:v>
      </x:c>
    </x:row>
    <x:row r="5" ht="36">
      <x:c r="A5" s="38" t="s">
        <x:v>507</x:v>
      </x:c>
      <x:c r="B5" s="38" t="s">
        <x:v>508</x:v>
      </x:c>
      <x:c r="C5" s="38" t="s">
        <x:v>509</x:v>
      </x:c>
      <x:c r="D5" s="38" t="s">
        <x:v>510</x:v>
      </x:c>
    </x:row>
    <x:row r="6" ht="36">
      <x:c r="A6" s="38" t="s">
        <x:v>61</x:v>
      </x:c>
      <x:c r="B6" s="38" t="s">
        <x:v>511</x:v>
      </x:c>
      <x:c r="C6" s="38" t="s">
        <x:v>512</x:v>
      </x:c>
      <x:c r="D6" s="38" t="s">
        <x:v>513</x:v>
      </x:c>
    </x:row>
    <x:row r="7" ht="36">
      <x:c r="A7" s="38" t="s">
        <x:v>62</x:v>
      </x:c>
      <x:c r="B7" s="38" t="s">
        <x:v>514</x:v>
      </x:c>
      <x:c r="C7" s="38" t="s">
        <x:v>515</x:v>
      </x:c>
      <x:c r="D7" s="38" t="s">
        <x:v>513</x:v>
      </x:c>
    </x:row>
    <x:row r="8">
      <x:c r="A8" s="38" t="s">
        <x:v>516</x:v>
      </x:c>
      <x:c r="B8" s="38" t="s">
        <x:v>517</x:v>
      </x:c>
      <x:c r="C8" s="38" t="s">
        <x:v>518</x:v>
      </x:c>
      <x:c r="D8" s="38" t="s">
        <x:v>519</x:v>
      </x:c>
    </x:row>
    <x:row r="9" ht="36">
      <x:c r="A9" s="38" t="s">
        <x:v>71</x:v>
      </x:c>
      <x:c r="B9" s="38" t="s">
        <x:v>520</x:v>
      </x:c>
      <x:c r="C9" s="38" t="s">
        <x:v>521</x:v>
      </x:c>
      <x:c r="D9" s="38" t="s">
        <x:v>522</x:v>
      </x:c>
    </x:row>
    <x:row r="10" ht="36">
      <x:c r="A10" s="38" t="s">
        <x:v>88</x:v>
      </x:c>
      <x:c r="B10" s="38" t="s">
        <x:v>523</x:v>
      </x:c>
      <x:c r="C10" s="38" t="s">
        <x:v>524</x:v>
      </x:c>
      <x:c r="D10" s="38" t="s">
        <x:v>525</x:v>
      </x:c>
    </x:row>
    <x:row r="11" ht="36">
      <x:c r="A11" s="38" t="s">
        <x:v>90</x:v>
      </x:c>
      <x:c r="B11" s="38" t="s">
        <x:v>526</x:v>
      </x:c>
      <x:c r="C11" s="38" t="s">
        <x:v>527</x:v>
      </x:c>
      <x:c r="D11" s="38" t="s">
        <x:v>528</x:v>
      </x:c>
    </x:row>
    <x:row r="12" ht="54">
      <x:c r="A12" s="38" t="s">
        <x:v>529</x:v>
      </x:c>
      <x:c r="B12" s="38" t="s">
        <x:v>530</x:v>
      </x:c>
      <x:c r="C12" s="38" t="s">
        <x:v>531</x:v>
      </x:c>
      <x:c r="D12" s="38" t="s">
        <x:v>532</x:v>
      </x:c>
    </x:row>
    <x:row r="13" ht="36">
      <x:c r="A13" s="38" t="s">
        <x:v>93</x:v>
      </x:c>
      <x:c r="B13" s="38" t="s">
        <x:v>533</x:v>
      </x:c>
      <x:c r="C13" s="38" t="s">
        <x:v>534</x:v>
      </x:c>
      <x:c r="D13" s="38" t="s">
        <x:v>535</x:v>
      </x:c>
    </x:row>
    <x:row r="14" ht="54">
      <x:c r="A14" s="38" t="s">
        <x:v>94</x:v>
      </x:c>
      <x:c r="B14" s="38" t="s">
        <x:v>536</x:v>
      </x:c>
      <x:c r="C14" s="38" t="s">
        <x:v>537</x:v>
      </x:c>
      <x:c r="D14" s="38" t="s">
        <x:v>538</x:v>
      </x:c>
    </x:row>
    <x:row r="15" ht="36">
      <x:c r="A15" s="38" t="s">
        <x:v>98</x:v>
      </x:c>
      <x:c r="B15" s="38" t="s">
        <x:v>539</x:v>
      </x:c>
      <x:c r="C15" s="38" t="s">
        <x:v>540</x:v>
      </x:c>
      <x:c r="D15" s="38" t="s">
        <x:v>541</x:v>
      </x:c>
    </x:row>
    <x:row r="16" ht="36">
      <x:c r="A16" s="38" t="s">
        <x:v>99</x:v>
      </x:c>
      <x:c r="B16" s="38" t="s">
        <x:v>542</x:v>
      </x:c>
      <x:c r="C16" s="38" t="s">
        <x:v>543</x:v>
      </x:c>
      <x:c r="D16" s="38" t="s">
        <x:v>544</x:v>
      </x:c>
    </x:row>
    <x:row r="17" ht="36">
      <x:c r="A17" s="38" t="s">
        <x:v>100</x:v>
      </x:c>
      <x:c r="B17" s="38" t="s">
        <x:v>545</x:v>
      </x:c>
      <x:c r="C17" s="38" t="s">
        <x:v>546</x:v>
      </x:c>
      <x:c r="D17" s="38" t="s">
        <x:v>547</x:v>
      </x:c>
    </x:row>
    <x:row r="18" ht="36">
      <x:c r="A18" s="38" t="s">
        <x:v>101</x:v>
      </x:c>
      <x:c r="B18" s="38" t="s">
        <x:v>548</x:v>
      </x:c>
      <x:c r="C18" s="38" t="s">
        <x:v>549</x:v>
      </x:c>
      <x:c r="D18" s="38" t="s">
        <x:v>550</x:v>
      </x:c>
    </x:row>
    <x:row r="19" ht="54">
      <x:c r="A19" s="38" t="s">
        <x:v>551</x:v>
      </x:c>
      <x:c r="B19" s="38" t="s">
        <x:v>552</x:v>
      </x:c>
      <x:c r="C19" s="38" t="s">
        <x:v>553</x:v>
      </x:c>
      <x:c r="D19" s="38" t="s">
        <x:v>554</x:v>
      </x:c>
    </x:row>
    <x:row r="20" ht="72">
      <x:c r="A20" s="38" t="s">
        <x:v>95</x:v>
      </x:c>
      <x:c r="B20" s="38" t="s">
        <x:v>555</x:v>
      </x:c>
      <x:c r="C20" s="38" t="s">
        <x:v>556</x:v>
      </x:c>
      <x:c r="D20" s="38" t="s">
        <x:v>557</x:v>
      </x:c>
    </x:row>
    <x:row r="21" ht="72">
      <x:c r="A21" s="38" t="s">
        <x:v>96</x:v>
      </x:c>
      <x:c r="B21" s="38" t="s">
        <x:v>558</x:v>
      </x:c>
      <x:c r="C21" s="38" t="s">
        <x:v>559</x:v>
      </x:c>
      <x:c r="D21" s="38" t="s">
        <x:v>560</x:v>
      </x:c>
    </x:row>
    <x:row r="22" ht="36">
      <x:c r="A22" s="38" t="s">
        <x:v>97</x:v>
      </x:c>
      <x:c r="B22" s="38" t="s">
        <x:v>561</x:v>
      </x:c>
      <x:c r="C22" s="38" t="s">
        <x:v>562</x:v>
      </x:c>
      <x:c r="D22" s="38" t="s">
        <x:v>563</x:v>
      </x:c>
    </x:row>
    <x:row r="23" ht="36">
      <x:c r="A23" s="38" t="s">
        <x:v>564</x:v>
      </x:c>
      <x:c r="B23" s="38" t="s">
        <x:v>565</x:v>
      </x:c>
      <x:c r="C23" s="38" t="s">
        <x:v>566</x:v>
      </x:c>
      <x:c r="D23" s="38" t="s">
        <x:v>567</x:v>
      </x:c>
    </x:row>
    <x:row r="24">
      <x:c r="A24" s="38" t="s">
        <x:v>564</x:v>
      </x:c>
      <x:c r="B24" s="38" t="s">
        <x:v>568</x:v>
      </x:c>
      <x:c r="C24" s="38" t="s">
        <x:v>569</x:v>
      </x:c>
      <x:c r="D24" s="38" t="s">
        <x:v>570</x:v>
      </x:c>
    </x:row>
    <x:row r="25" ht="36">
      <x:c r="A25" s="38" t="s">
        <x:v>571</x:v>
      </x:c>
      <x:c r="B25" s="38" t="s">
        <x:v>572</x:v>
      </x:c>
      <x:c r="C25" s="38" t="s">
        <x:v>573</x:v>
      </x:c>
      <x:c r="D25" s="38" t="s">
        <x:v>574</x:v>
      </x:c>
    </x:row>
    <x:row r="26" ht="36">
      <x:c r="A26" s="38" t="s">
        <x:v>575</x:v>
      </x:c>
      <x:c r="B26" s="38" t="s">
        <x:v>576</x:v>
      </x:c>
      <x:c r="C26" s="38" t="s">
        <x:v>577</x:v>
      </x:c>
      <x:c r="D26" s="38" t="s">
        <x:v>578</x:v>
      </x:c>
    </x:row>
    <x:row r="27" ht="36">
      <x:c r="A27" s="38" t="s">
        <x:v>579</x:v>
      </x:c>
      <x:c r="B27" s="38" t="s">
        <x:v>580</x:v>
      </x:c>
      <x:c r="C27" s="38" t="s">
        <x:v>581</x:v>
      </x:c>
      <x:c r="D27" s="38" t="s">
        <x:v>582</x:v>
      </x:c>
    </x:row>
  </x:sheetData>
  <x:pageMargins left="0.7" right="0.7" top="0.75" bottom="0.75" header="0.3" footer="0.3"/>
</x:worksheet>
</file>

<file path=xl/worksheets/sheet5.xml><?xml version="1.0" encoding="utf-8"?>
<x:worksheet xmlns:x="http://schemas.openxmlformats.org/spreadsheetml/2006/main">
  <x:sheetFormatPr defaultRowHeight="18"/>
  <x:cols>
    <x:col min="1" max="1" width="6" customWidth="1"/>
    <x:col min="2" max="2" width="10" customWidth="1"/>
    <x:col min="3" max="3" width="9" customWidth="1"/>
    <x:col min="4" max="4" width="24" customWidth="1"/>
    <x:col min="5" max="5" width="30" customWidth="1"/>
    <x:col min="6" max="6" width="28" customWidth="1"/>
    <x:col min="7" max="7" width="34" customWidth="1"/>
    <x:col min="8" max="8" width="54" customWidth="1"/>
    <x:col min="9" max="9" width="58" customWidth="1"/>
    <x:col min="10" max="10" width="24" customWidth="1"/>
    <x:col min="11" max="11" width="46" customWidth="1"/>
    <x:col min="12" max="12" width="28" customWidth="1"/>
    <x:col min="13" max="13" width="14" customWidth="1"/>
  </x:cols>
  <x:sheetData>
    <x:row r="1" ht="10" customHeight="1">
      <x:c r="A1" s="41" t="s">
        <x:v>64</x:v>
      </x:c>
      <x:c r="B1" s="41" t="s">
        <x:v>66</x:v>
      </x:c>
      <x:c r="C1" s="41" t="s">
        <x:v>67</x:v>
      </x:c>
      <x:c r="D1" s="41" t="s">
        <x:v>103</x:v>
      </x:c>
      <x:c r="E1" s="41" t="s">
        <x:v>583</x:v>
      </x:c>
      <x:c r="F1" s="41" t="s">
        <x:v>104</x:v>
      </x:c>
      <x:c r="G1" s="41" t="s">
        <x:v>105</x:v>
      </x:c>
      <x:c r="H1" s="41" t="s">
        <x:v>106</x:v>
      </x:c>
      <x:c r="I1" s="41" t="s">
        <x:v>107</x:v>
      </x:c>
      <x:c r="J1" s="41" t="s">
        <x:v>86</x:v>
      </x:c>
      <x:c r="K1" s="41" t="s">
        <x:v>109</x:v>
      </x:c>
      <x:c r="L1" s="41" t="s">
        <x:v>487</x:v>
      </x:c>
      <x:c r="M1" s="41" t="s">
        <x:v>111</x:v>
      </x:c>
    </x:row>
    <x:row r="2" ht="17.649999618530273" customHeight="1">
      <x:c r="A2" s="38">
        <x:v>1</x:v>
      </x:c>
      <x:c r="B2" s="38" t="s">
        <x:v>112</x:v>
      </x:c>
      <x:c r="C2" s="38" t="s">
        <x:v>488</x:v>
      </x:c>
      <x:c r="D2" s="38" t="s">
        <x:v>113</x:v>
      </x:c>
      <x:c r="E2" s="38" t="s">
        <x:v>584</x:v>
      </x:c>
      <x:c r="F2" s="38" t="s">
        <x:v>114</x:v>
      </x:c>
      <x:c r="G2" s="38" t="s">
        <x:v>115</x:v>
      </x:c>
      <x:c r="H2" s="38" t="s">
        <x:v>116</x:v>
      </x:c>
      <x:c r="I2" s="38" t="s">
        <x:v>117</x:v>
      </x:c>
      <x:c r="J2" s="38" t="s">
        <x:v>118</x:v>
      </x:c>
      <x:c r="K2" s="38" t="s">
        <x:v>119</x:v>
      </x:c>
      <x:c r="L2" s="38" t="s">
        <x:v>120</x:v>
      </x:c>
      <x:c r="M2" s="38" t="s">
        <x:v>121</x:v>
      </x:c>
    </x:row>
    <x:row r="3" ht="17.649999618530273" customHeight="1">
      <x:c r="A3" s="38">
        <x:v>2</x:v>
      </x:c>
      <x:c r="B3" s="38" t="s">
        <x:v>122</x:v>
      </x:c>
      <x:c r="C3" s="38" t="s">
        <x:v>489</x:v>
      </x:c>
      <x:c r="D3" s="38" t="s">
        <x:v>123</x:v>
      </x:c>
      <x:c r="E3" s="38" t="s">
        <x:v>585</x:v>
      </x:c>
      <x:c r="F3" s="38" t="s">
        <x:v>124</x:v>
      </x:c>
      <x:c r="G3" s="38" t="s">
        <x:v>125</x:v>
      </x:c>
      <x:c r="H3" s="38" t="s">
        <x:v>126</x:v>
      </x:c>
      <x:c r="I3" s="38" t="s">
        <x:v>127</x:v>
      </x:c>
      <x:c r="J3" s="38" t="s">
        <x:v>118</x:v>
      </x:c>
      <x:c r="K3" s="38" t="s">
        <x:v>128</x:v>
      </x:c>
      <x:c r="L3" s="38" t="s">
        <x:v>129</x:v>
      </x:c>
      <x:c r="M3" s="38" t="s">
        <x:v>130</x:v>
      </x:c>
    </x:row>
    <x:row r="4" ht="17.649999618530273" customHeight="1">
      <x:c r="A4" s="38">
        <x:v>3</x:v>
      </x:c>
      <x:c r="B4" s="38" t="s">
        <x:v>131</x:v>
      </x:c>
      <x:c r="C4" s="38" t="s">
        <x:v>490</x:v>
      </x:c>
      <x:c r="D4" s="38" t="s">
        <x:v>132</x:v>
      </x:c>
      <x:c r="E4" s="38" t="s">
        <x:v>586</x:v>
      </x:c>
      <x:c r="F4" s="38" t="s">
        <x:v>133</x:v>
      </x:c>
      <x:c r="G4" s="38" t="s">
        <x:v>134</x:v>
      </x:c>
      <x:c r="H4" s="38" t="s">
        <x:v>135</x:v>
      </x:c>
      <x:c r="I4" s="38" t="s">
        <x:v>136</x:v>
      </x:c>
      <x:c r="J4" s="38" t="s">
        <x:v>118</x:v>
      </x:c>
      <x:c r="K4" s="38" t="s">
        <x:v>137</x:v>
      </x:c>
      <x:c r="L4" s="38" t="s">
        <x:v>138</x:v>
      </x:c>
      <x:c r="M4" s="38" t="s">
        <x:v>139</x:v>
      </x:c>
    </x:row>
    <x:row r="5" ht="17.649999618530273" customHeight="1">
      <x:c r="A5" s="38">
        <x:v>4</x:v>
      </x:c>
      <x:c r="B5" s="38" t="s">
        <x:v>140</x:v>
      </x:c>
      <x:c r="C5" s="38" t="s">
        <x:v>493</x:v>
      </x:c>
      <x:c r="D5" s="38" t="s">
        <x:v>141</x:v>
      </x:c>
      <x:c r="E5" s="38" t="s">
        <x:v>587</x:v>
      </x:c>
      <x:c r="F5" s="38" t="s">
        <x:v>142</x:v>
      </x:c>
      <x:c r="G5" s="38" t="s">
        <x:v>143</x:v>
      </x:c>
      <x:c r="H5" s="38" t="s">
        <x:v>144</x:v>
      </x:c>
      <x:c r="I5" s="38" t="s">
        <x:v>145</x:v>
      </x:c>
      <x:c r="J5" s="38" t="s">
        <x:v>118</x:v>
      </x:c>
      <x:c r="K5" s="38" t="s">
        <x:v>146</x:v>
      </x:c>
      <x:c r="L5" s="38" t="s">
        <x:v>147</x:v>
      </x:c>
      <x:c r="M5" s="38" t="s">
        <x:v>148</x:v>
      </x:c>
    </x:row>
    <x:row r="6" ht="17.649999618530273" customHeight="1">
      <x:c r="A6" s="38">
        <x:v>5</x:v>
      </x:c>
      <x:c r="B6" s="38" t="s">
        <x:v>149</x:v>
      </x:c>
      <x:c r="C6" s="38" t="s">
        <x:v>493</x:v>
      </x:c>
      <x:c r="D6" s="38" t="s">
        <x:v>141</x:v>
      </x:c>
      <x:c r="E6" s="38" t="s">
        <x:v>588</x:v>
      </x:c>
      <x:c r="F6" s="38" t="s">
        <x:v>150</x:v>
      </x:c>
      <x:c r="G6" s="38" t="s">
        <x:v>143</x:v>
      </x:c>
      <x:c r="H6" s="38" t="s">
        <x:v>144</x:v>
      </x:c>
      <x:c r="I6" s="38" t="s">
        <x:v>151</x:v>
      </x:c>
      <x:c r="J6" s="38" t="s">
        <x:v>118</x:v>
      </x:c>
      <x:c r="K6" s="38" t="s">
        <x:v>146</x:v>
      </x:c>
      <x:c r="L6" s="38" t="s">
        <x:v>147</x:v>
      </x:c>
      <x:c r="M6" s="38" t="s">
        <x:v>152</x:v>
      </x:c>
    </x:row>
    <x:row r="7" ht="17.649999618530273" customHeight="1">
      <x:c r="A7" s="38">
        <x:v>6</x:v>
      </x:c>
      <x:c r="B7" s="38" t="s">
        <x:v>153</x:v>
      </x:c>
      <x:c r="C7" s="38" t="s">
        <x:v>489</x:v>
      </x:c>
      <x:c r="D7" s="38" t="s">
        <x:v>123</x:v>
      </x:c>
      <x:c r="E7" s="38" t="s">
        <x:v>589</x:v>
      </x:c>
      <x:c r="F7" s="38" t="s">
        <x:v>154</x:v>
      </x:c>
      <x:c r="G7" s="38" t="s">
        <x:v>125</x:v>
      </x:c>
      <x:c r="H7" s="38" t="s">
        <x:v>126</x:v>
      </x:c>
      <x:c r="I7" s="38" t="s">
        <x:v>155</x:v>
      </x:c>
      <x:c r="J7" s="38" t="s">
        <x:v>118</x:v>
      </x:c>
      <x:c r="K7" s="38" t="s">
        <x:v>128</x:v>
      </x:c>
      <x:c r="L7" s="38" t="s">
        <x:v>129</x:v>
      </x:c>
      <x:c r="M7" s="38" t="s">
        <x:v>156</x:v>
      </x:c>
    </x:row>
    <x:row r="8" ht="17.649999618530273" customHeight="1">
      <x:c r="A8" s="38">
        <x:v>7</x:v>
      </x:c>
      <x:c r="B8" s="38" t="s">
        <x:v>157</x:v>
      </x:c>
      <x:c r="C8" s="38" t="s">
        <x:v>492</x:v>
      </x:c>
      <x:c r="D8" s="38" t="s">
        <x:v>158</x:v>
      </x:c>
      <x:c r="E8" s="38" t="s">
        <x:v>590</x:v>
      </x:c>
      <x:c r="F8" s="38" t="s">
        <x:v>159</x:v>
      </x:c>
      <x:c r="G8" s="38" t="s">
        <x:v>160</x:v>
      </x:c>
      <x:c r="H8" s="38" t="s">
        <x:v>161</x:v>
      </x:c>
      <x:c r="I8" s="38" t="s">
        <x:v>162</x:v>
      </x:c>
      <x:c r="J8" s="38" t="s">
        <x:v>163</x:v>
      </x:c>
      <x:c r="K8" s="38" t="s">
        <x:v>164</x:v>
      </x:c>
      <x:c r="L8" s="38" t="s">
        <x:v>165</x:v>
      </x:c>
      <x:c r="M8" s="38" t="s">
        <x:v>166</x:v>
      </x:c>
    </x:row>
    <x:row r="9" ht="17.649999618530273" customHeight="1">
      <x:c r="A9" s="38">
        <x:v>8</x:v>
      </x:c>
      <x:c r="B9" s="38" t="s">
        <x:v>167</x:v>
      </x:c>
      <x:c r="C9" s="38" t="s">
        <x:v>470</x:v>
      </x:c>
      <x:c r="D9" s="38" t="s">
        <x:v>168</x:v>
      </x:c>
      <x:c r="E9" s="38" t="s">
        <x:v>591</x:v>
      </x:c>
      <x:c r="F9" s="38" t="s">
        <x:v>169</x:v>
      </x:c>
      <x:c r="G9" s="38" t="s">
        <x:v>170</x:v>
      </x:c>
      <x:c r="H9" s="38" t="s">
        <x:v>171</x:v>
      </x:c>
      <x:c r="I9" s="38" t="s">
        <x:v>172</x:v>
      </x:c>
      <x:c r="J9" s="38" t="s">
        <x:v>118</x:v>
      </x:c>
      <x:c r="K9" s="38" t="s">
        <x:v>173</x:v>
      </x:c>
      <x:c r="L9" s="38" t="s">
        <x:v>174</x:v>
      </x:c>
      <x:c r="M9" s="38" t="s">
        <x:v>175</x:v>
      </x:c>
    </x:row>
    <x:row r="10" ht="17.649999618530273" customHeight="1">
      <x:c r="A10" s="38">
        <x:v>9</x:v>
      </x:c>
      <x:c r="B10" s="38" t="s">
        <x:v>176</x:v>
      </x:c>
      <x:c r="C10" s="38" t="s">
        <x:v>493</x:v>
      </x:c>
      <x:c r="D10" s="38" t="s">
        <x:v>141</x:v>
      </x:c>
      <x:c r="E10" s="38" t="s">
        <x:v>592</x:v>
      </x:c>
      <x:c r="F10" s="38" t="s">
        <x:v>177</x:v>
      </x:c>
      <x:c r="G10" s="38" t="s">
        <x:v>143</x:v>
      </x:c>
      <x:c r="H10" s="38" t="s">
        <x:v>144</x:v>
      </x:c>
      <x:c r="I10" s="38" t="s">
        <x:v>178</x:v>
      </x:c>
      <x:c r="J10" s="38" t="s">
        <x:v>118</x:v>
      </x:c>
      <x:c r="K10" s="38" t="s">
        <x:v>146</x:v>
      </x:c>
      <x:c r="L10" s="38" t="s">
        <x:v>147</x:v>
      </x:c>
      <x:c r="M10" s="38" t="s">
        <x:v>179</x:v>
      </x:c>
    </x:row>
    <x:row r="11" ht="17.649999618530273" customHeight="1">
      <x:c r="A11" s="38">
        <x:v>10</x:v>
      </x:c>
      <x:c r="B11" s="38" t="s">
        <x:v>180</x:v>
      </x:c>
      <x:c r="C11" s="38" t="s">
        <x:v>488</x:v>
      </x:c>
      <x:c r="D11" s="38" t="s">
        <x:v>113</x:v>
      </x:c>
      <x:c r="E11" s="38" t="s">
        <x:v>584</x:v>
      </x:c>
      <x:c r="F11" s="38" t="s">
        <x:v>181</x:v>
      </x:c>
      <x:c r="G11" s="38" t="s">
        <x:v>115</x:v>
      </x:c>
      <x:c r="H11" s="38" t="s">
        <x:v>116</x:v>
      </x:c>
      <x:c r="I11" s="38" t="s">
        <x:v>182</x:v>
      </x:c>
      <x:c r="J11" s="38" t="s">
        <x:v>118</x:v>
      </x:c>
      <x:c r="K11" s="38" t="s">
        <x:v>119</x:v>
      </x:c>
      <x:c r="L11" s="38" t="s">
        <x:v>120</x:v>
      </x:c>
      <x:c r="M11" s="38" t="s">
        <x:v>183</x:v>
      </x:c>
    </x:row>
    <x:row r="12" ht="17.649999618530273" customHeight="1">
      <x:c r="A12" s="38">
        <x:v>11</x:v>
      </x:c>
      <x:c r="B12" s="38" t="s">
        <x:v>184</x:v>
      </x:c>
      <x:c r="C12" s="38" t="s">
        <x:v>488</x:v>
      </x:c>
      <x:c r="D12" s="38" t="s">
        <x:v>113</x:v>
      </x:c>
      <x:c r="E12" s="38" t="s">
        <x:v>584</x:v>
      </x:c>
      <x:c r="F12" s="38" t="s">
        <x:v>150</x:v>
      </x:c>
      <x:c r="G12" s="38" t="s">
        <x:v>115</x:v>
      </x:c>
      <x:c r="H12" s="38" t="s">
        <x:v>116</x:v>
      </x:c>
      <x:c r="I12" s="38" t="s">
        <x:v>185</x:v>
      </x:c>
      <x:c r="J12" s="38" t="s">
        <x:v>118</x:v>
      </x:c>
      <x:c r="K12" s="38" t="s">
        <x:v>119</x:v>
      </x:c>
      <x:c r="L12" s="38" t="s">
        <x:v>120</x:v>
      </x:c>
      <x:c r="M12" s="38" t="s">
        <x:v>186</x:v>
      </x:c>
    </x:row>
    <x:row r="13" ht="17.649999618530273" customHeight="1">
      <x:c r="A13" s="38">
        <x:v>12</x:v>
      </x:c>
      <x:c r="B13" s="38" t="s">
        <x:v>187</x:v>
      </x:c>
      <x:c r="C13" s="38" t="s">
        <x:v>489</x:v>
      </x:c>
      <x:c r="D13" s="38" t="s">
        <x:v>123</x:v>
      </x:c>
      <x:c r="E13" s="38" t="s">
        <x:v>585</x:v>
      </x:c>
      <x:c r="F13" s="38" t="s">
        <x:v>124</x:v>
      </x:c>
      <x:c r="G13" s="38" t="s">
        <x:v>125</x:v>
      </x:c>
      <x:c r="H13" s="38" t="s">
        <x:v>126</x:v>
      </x:c>
      <x:c r="I13" s="38" t="s">
        <x:v>188</x:v>
      </x:c>
      <x:c r="J13" s="38" t="s">
        <x:v>118</x:v>
      </x:c>
      <x:c r="K13" s="38" t="s">
        <x:v>128</x:v>
      </x:c>
      <x:c r="L13" s="38" t="s">
        <x:v>129</x:v>
      </x:c>
      <x:c r="M13" s="38" t="s">
        <x:v>189</x:v>
      </x:c>
    </x:row>
    <x:row r="14" ht="17.649999618530273" customHeight="1">
      <x:c r="A14" s="38">
        <x:v>13</x:v>
      </x:c>
      <x:c r="B14" s="38" t="s">
        <x:v>190</x:v>
      </x:c>
      <x:c r="C14" s="38" t="s">
        <x:v>495</x:v>
      </x:c>
      <x:c r="D14" s="38" t="s">
        <x:v>191</x:v>
      </x:c>
      <x:c r="E14" s="38" t="s">
        <x:v>593</x:v>
      </x:c>
      <x:c r="F14" s="38" t="s">
        <x:v>133</x:v>
      </x:c>
      <x:c r="G14" s="38" t="s">
        <x:v>192</x:v>
      </x:c>
      <x:c r="H14" s="38" t="s">
        <x:v>193</x:v>
      </x:c>
      <x:c r="I14" s="38" t="s">
        <x:v>194</x:v>
      </x:c>
      <x:c r="J14" s="38" t="s">
        <x:v>195</x:v>
      </x:c>
      <x:c r="K14" s="38" t="s">
        <x:v>196</x:v>
      </x:c>
      <x:c r="L14" s="38" t="s">
        <x:v>197</x:v>
      </x:c>
      <x:c r="M14" s="38" t="s">
        <x:v>198</x:v>
      </x:c>
    </x:row>
    <x:row r="15" ht="17.649999618530273" customHeight="1">
      <x:c r="A15" s="38">
        <x:v>14</x:v>
      </x:c>
      <x:c r="B15" s="38" t="s">
        <x:v>199</x:v>
      </x:c>
      <x:c r="C15" s="38" t="s">
        <x:v>491</x:v>
      </x:c>
      <x:c r="D15" s="38" t="s">
        <x:v>200</x:v>
      </x:c>
      <x:c r="E15" s="38" t="s">
        <x:v>587</x:v>
      </x:c>
      <x:c r="F15" s="38" t="s">
        <x:v>142</x:v>
      </x:c>
      <x:c r="G15" s="38" t="s">
        <x:v>201</x:v>
      </x:c>
      <x:c r="H15" s="38" t="s">
        <x:v>202</x:v>
      </x:c>
      <x:c r="I15" s="38" t="s">
        <x:v>203</x:v>
      </x:c>
      <x:c r="J15" s="38" t="s">
        <x:v>118</x:v>
      </x:c>
      <x:c r="K15" s="38" t="s">
        <x:v>204</x:v>
      </x:c>
      <x:c r="L15" s="38" t="s">
        <x:v>205</x:v>
      </x:c>
      <x:c r="M15" s="38" t="s">
        <x:v>206</x:v>
      </x:c>
    </x:row>
    <x:row r="16" ht="17.649999618530273" customHeight="1">
      <x:c r="A16" s="38">
        <x:v>15</x:v>
      </x:c>
      <x:c r="B16" s="38" t="s">
        <x:v>207</x:v>
      </x:c>
      <x:c r="C16" s="38" t="s">
        <x:v>492</x:v>
      </x:c>
      <x:c r="D16" s="38" t="s">
        <x:v>158</x:v>
      </x:c>
      <x:c r="E16" s="38" t="s">
        <x:v>590</x:v>
      </x:c>
      <x:c r="F16" s="38" t="s">
        <x:v>208</x:v>
      </x:c>
      <x:c r="G16" s="38" t="s">
        <x:v>160</x:v>
      </x:c>
      <x:c r="H16" s="38" t="s">
        <x:v>161</x:v>
      </x:c>
      <x:c r="I16" s="38" t="s">
        <x:v>209</x:v>
      </x:c>
      <x:c r="J16" s="38" t="s">
        <x:v>163</x:v>
      </x:c>
      <x:c r="K16" s="38" t="s">
        <x:v>164</x:v>
      </x:c>
      <x:c r="L16" s="38" t="s">
        <x:v>165</x:v>
      </x:c>
      <x:c r="M16" s="38" t="s">
        <x:v>210</x:v>
      </x:c>
    </x:row>
    <x:row r="17" ht="17.649999618530273" customHeight="1">
      <x:c r="A17" s="38">
        <x:v>16</x:v>
      </x:c>
      <x:c r="B17" s="38" t="s">
        <x:v>211</x:v>
      </x:c>
      <x:c r="C17" s="38" t="s">
        <x:v>491</x:v>
      </x:c>
      <x:c r="D17" s="38" t="s">
        <x:v>200</x:v>
      </x:c>
      <x:c r="E17" s="38" t="s">
        <x:v>594</x:v>
      </x:c>
      <x:c r="F17" s="38" t="s">
        <x:v>212</x:v>
      </x:c>
      <x:c r="G17" s="38" t="s">
        <x:v>201</x:v>
      </x:c>
      <x:c r="H17" s="38" t="s">
        <x:v>202</x:v>
      </x:c>
      <x:c r="I17" s="38" t="s">
        <x:v>213</x:v>
      </x:c>
      <x:c r="J17" s="38" t="s">
        <x:v>118</x:v>
      </x:c>
      <x:c r="K17" s="38" t="s">
        <x:v>204</x:v>
      </x:c>
      <x:c r="L17" s="38" t="s">
        <x:v>205</x:v>
      </x:c>
      <x:c r="M17" s="38" t="s">
        <x:v>214</x:v>
      </x:c>
    </x:row>
    <x:row r="18" ht="17.649999618530273" customHeight="1">
      <x:c r="A18" s="38">
        <x:v>17</x:v>
      </x:c>
      <x:c r="B18" s="38" t="s">
        <x:v>215</x:v>
      </x:c>
      <x:c r="C18" s="38" t="s">
        <x:v>493</x:v>
      </x:c>
      <x:c r="D18" s="38" t="s">
        <x:v>141</x:v>
      </x:c>
      <x:c r="E18" s="38" t="s">
        <x:v>595</x:v>
      </x:c>
      <x:c r="F18" s="38" t="s">
        <x:v>124</x:v>
      </x:c>
      <x:c r="G18" s="38" t="s">
        <x:v>143</x:v>
      </x:c>
      <x:c r="H18" s="38" t="s">
        <x:v>144</x:v>
      </x:c>
      <x:c r="I18" s="38" t="s">
        <x:v>216</x:v>
      </x:c>
      <x:c r="J18" s="38" t="s">
        <x:v>118</x:v>
      </x:c>
      <x:c r="K18" s="38" t="s">
        <x:v>146</x:v>
      </x:c>
      <x:c r="L18" s="38" t="s">
        <x:v>147</x:v>
      </x:c>
      <x:c r="M18" s="38" t="s">
        <x:v>217</x:v>
      </x:c>
    </x:row>
    <x:row r="19" ht="17.649999618530273" customHeight="1">
      <x:c r="A19" s="38">
        <x:v>18</x:v>
      </x:c>
      <x:c r="B19" s="38" t="s">
        <x:v>218</x:v>
      </x:c>
      <x:c r="C19" s="38" t="s">
        <x:v>493</x:v>
      </x:c>
      <x:c r="D19" s="38" t="s">
        <x:v>141</x:v>
      </x:c>
      <x:c r="E19" s="38" t="s">
        <x:v>596</x:v>
      </x:c>
      <x:c r="F19" s="38" t="s">
        <x:v>219</x:v>
      </x:c>
      <x:c r="G19" s="38" t="s">
        <x:v>143</x:v>
      </x:c>
      <x:c r="H19" s="38" t="s">
        <x:v>144</x:v>
      </x:c>
      <x:c r="I19" s="38" t="s">
        <x:v>220</x:v>
      </x:c>
      <x:c r="J19" s="38" t="s">
        <x:v>118</x:v>
      </x:c>
      <x:c r="K19" s="38" t="s">
        <x:v>146</x:v>
      </x:c>
      <x:c r="L19" s="38" t="s">
        <x:v>147</x:v>
      </x:c>
      <x:c r="M19" s="38" t="s">
        <x:v>221</x:v>
      </x:c>
    </x:row>
    <x:row r="20" ht="17.649999618530273" customHeight="1">
      <x:c r="A20" s="38">
        <x:v>19</x:v>
      </x:c>
      <x:c r="B20" s="38" t="s">
        <x:v>222</x:v>
      </x:c>
      <x:c r="C20" s="38" t="s">
        <x:v>470</x:v>
      </x:c>
      <x:c r="D20" s="38" t="s">
        <x:v>168</x:v>
      </x:c>
      <x:c r="E20" s="38" t="s">
        <x:v>597</x:v>
      </x:c>
      <x:c r="F20" s="38" t="s">
        <x:v>154</x:v>
      </x:c>
      <x:c r="G20" s="38" t="s">
        <x:v>170</x:v>
      </x:c>
      <x:c r="H20" s="38" t="s">
        <x:v>171</x:v>
      </x:c>
      <x:c r="I20" s="38" t="s">
        <x:v>223</x:v>
      </x:c>
      <x:c r="J20" s="38" t="s">
        <x:v>118</x:v>
      </x:c>
      <x:c r="K20" s="38" t="s">
        <x:v>173</x:v>
      </x:c>
      <x:c r="L20" s="38" t="s">
        <x:v>174</x:v>
      </x:c>
      <x:c r="M20" s="38" t="s">
        <x:v>224</x:v>
      </x:c>
    </x:row>
    <x:row r="21" ht="26.399999618530273" customHeight="1">
      <x:c r="A21" s="38">
        <x:v>20</x:v>
      </x:c>
      <x:c r="B21" s="38" t="s">
        <x:v>225</x:v>
      </x:c>
      <x:c r="C21" s="38" t="s">
        <x:v>480</x:v>
      </x:c>
      <x:c r="D21" s="38" t="s">
        <x:v>226</x:v>
      </x:c>
      <x:c r="E21" s="38" t="s">
        <x:v>598</x:v>
      </x:c>
      <x:c r="F21" s="38" t="s">
        <x:v>227</x:v>
      </x:c>
      <x:c r="G21" s="38" t="s">
        <x:v>228</x:v>
      </x:c>
      <x:c r="H21" s="38" t="s">
        <x:v>229</x:v>
      </x:c>
      <x:c r="I21" s="38" t="s">
        <x:v>230</x:v>
      </x:c>
      <x:c r="J21" s="38" t="s">
        <x:v>118</x:v>
      </x:c>
      <x:c r="K21" s="38" t="s">
        <x:v>231</x:v>
      </x:c>
      <x:c r="L21" s="38" t="s">
        <x:v>232</x:v>
      </x:c>
      <x:c r="M21" s="38" t="s">
        <x:v>233</x:v>
      </x:c>
    </x:row>
    <x:row r="22" ht="17.649999618530273" customHeight="1">
      <x:c r="A22" s="38">
        <x:v>21</x:v>
      </x:c>
      <x:c r="B22" s="38" t="s">
        <x:v>234</x:v>
      </x:c>
      <x:c r="C22" s="38" t="s">
        <x:v>488</x:v>
      </x:c>
      <x:c r="D22" s="38" t="s">
        <x:v>113</x:v>
      </x:c>
      <x:c r="E22" s="38" t="s">
        <x:v>584</x:v>
      </x:c>
      <x:c r="F22" s="38" t="s">
        <x:v>235</x:v>
      </x:c>
      <x:c r="G22" s="38" t="s">
        <x:v>115</x:v>
      </x:c>
      <x:c r="H22" s="38" t="s">
        <x:v>116</x:v>
      </x:c>
      <x:c r="I22" s="38" t="s">
        <x:v>236</x:v>
      </x:c>
      <x:c r="J22" s="38" t="s">
        <x:v>118</x:v>
      </x:c>
      <x:c r="K22" s="38" t="s">
        <x:v>119</x:v>
      </x:c>
      <x:c r="L22" s="38" t="s">
        <x:v>120</x:v>
      </x:c>
      <x:c r="M22" s="38" t="s">
        <x:v>237</x:v>
      </x:c>
    </x:row>
    <x:row r="23" ht="17.649999618530273" customHeight="1">
      <x:c r="A23" s="38">
        <x:v>22</x:v>
      </x:c>
      <x:c r="B23" s="38" t="s">
        <x:v>238</x:v>
      </x:c>
      <x:c r="C23" s="38" t="s">
        <x:v>495</x:v>
      </x:c>
      <x:c r="D23" s="38" t="s">
        <x:v>191</x:v>
      </x:c>
      <x:c r="E23" s="38" t="s">
        <x:v>599</x:v>
      </x:c>
      <x:c r="F23" s="38" t="s">
        <x:v>154</x:v>
      </x:c>
      <x:c r="G23" s="38" t="s">
        <x:v>192</x:v>
      </x:c>
      <x:c r="H23" s="38" t="s">
        <x:v>193</x:v>
      </x:c>
      <x:c r="I23" s="38" t="s">
        <x:v>239</x:v>
      </x:c>
      <x:c r="J23" s="38" t="s">
        <x:v>195</x:v>
      </x:c>
      <x:c r="K23" s="38" t="s">
        <x:v>196</x:v>
      </x:c>
      <x:c r="L23" s="38" t="s">
        <x:v>197</x:v>
      </x:c>
      <x:c r="M23" s="38" t="s">
        <x:v>240</x:v>
      </x:c>
    </x:row>
    <x:row r="24" ht="17.649999618530273" customHeight="1">
      <x:c r="A24" s="38">
        <x:v>23</x:v>
      </x:c>
      <x:c r="B24" s="38" t="s">
        <x:v>241</x:v>
      </x:c>
      <x:c r="C24" s="38" t="s">
        <x:v>493</x:v>
      </x:c>
      <x:c r="D24" s="38" t="s">
        <x:v>141</x:v>
      </x:c>
      <x:c r="E24" s="38" t="s">
        <x:v>600</x:v>
      </x:c>
      <x:c r="F24" s="38" t="s">
        <x:v>242</x:v>
      </x:c>
      <x:c r="G24" s="38" t="s">
        <x:v>143</x:v>
      </x:c>
      <x:c r="H24" s="38" t="s">
        <x:v>144</x:v>
      </x:c>
      <x:c r="I24" s="38" t="s">
        <x:v>243</x:v>
      </x:c>
      <x:c r="J24" s="38" t="s">
        <x:v>118</x:v>
      </x:c>
      <x:c r="K24" s="38" t="s">
        <x:v>146</x:v>
      </x:c>
      <x:c r="L24" s="38" t="s">
        <x:v>147</x:v>
      </x:c>
      <x:c r="M24" s="38" t="s">
        <x:v>244</x:v>
      </x:c>
    </x:row>
    <x:row r="25" ht="17.649999618530273" customHeight="1">
      <x:c r="A25" s="38">
        <x:v>24</x:v>
      </x:c>
      <x:c r="B25" s="38" t="s">
        <x:v>245</x:v>
      </x:c>
      <x:c r="C25" s="38" t="s">
        <x:v>491</x:v>
      </x:c>
      <x:c r="D25" s="38" t="s">
        <x:v>200</x:v>
      </x:c>
      <x:c r="E25" s="38" t="s">
        <x:v>601</x:v>
      </x:c>
      <x:c r="F25" s="38" t="s">
        <x:v>142</x:v>
      </x:c>
      <x:c r="G25" s="38" t="s">
        <x:v>201</x:v>
      </x:c>
      <x:c r="H25" s="38" t="s">
        <x:v>202</x:v>
      </x:c>
      <x:c r="I25" s="38" t="s">
        <x:v>246</x:v>
      </x:c>
      <x:c r="J25" s="38" t="s">
        <x:v>118</x:v>
      </x:c>
      <x:c r="K25" s="38" t="s">
        <x:v>204</x:v>
      </x:c>
      <x:c r="L25" s="38" t="s">
        <x:v>205</x:v>
      </x:c>
      <x:c r="M25" s="38" t="s">
        <x:v>247</x:v>
      </x:c>
    </x:row>
    <x:row r="26" ht="17.649999618530273" customHeight="1">
      <x:c r="A26" s="38">
        <x:v>25</x:v>
      </x:c>
      <x:c r="B26" s="38" t="s">
        <x:v>248</x:v>
      </x:c>
      <x:c r="C26" s="38" t="s">
        <x:v>492</x:v>
      </x:c>
      <x:c r="D26" s="38" t="s">
        <x:v>158</x:v>
      </x:c>
      <x:c r="E26" s="38" t="s">
        <x:v>590</x:v>
      </x:c>
      <x:c r="F26" s="38" t="s">
        <x:v>249</x:v>
      </x:c>
      <x:c r="G26" s="38" t="s">
        <x:v>160</x:v>
      </x:c>
      <x:c r="H26" s="38" t="s">
        <x:v>161</x:v>
      </x:c>
      <x:c r="I26" s="38" t="s">
        <x:v>250</x:v>
      </x:c>
      <x:c r="J26" s="38" t="s">
        <x:v>163</x:v>
      </x:c>
      <x:c r="K26" s="38" t="s">
        <x:v>164</x:v>
      </x:c>
      <x:c r="L26" s="38" t="s">
        <x:v>165</x:v>
      </x:c>
      <x:c r="M26" s="38" t="s">
        <x:v>251</x:v>
      </x:c>
    </x:row>
    <x:row r="27" ht="17.649999618530273" customHeight="1">
      <x:c r="A27" s="38">
        <x:v>26</x:v>
      </x:c>
      <x:c r="B27" s="38" t="s">
        <x:v>252</x:v>
      </x:c>
      <x:c r="C27" s="38" t="s">
        <x:v>470</x:v>
      </x:c>
      <x:c r="D27" s="38" t="s">
        <x:v>168</x:v>
      </x:c>
      <x:c r="E27" s="38" t="s">
        <x:v>602</x:v>
      </x:c>
      <x:c r="F27" s="38" t="s">
        <x:v>253</x:v>
      </x:c>
      <x:c r="G27" s="38" t="s">
        <x:v>170</x:v>
      </x:c>
      <x:c r="H27" s="38" t="s">
        <x:v>171</x:v>
      </x:c>
      <x:c r="I27" s="38" t="s">
        <x:v>254</x:v>
      </x:c>
      <x:c r="J27" s="38" t="s">
        <x:v>118</x:v>
      </x:c>
      <x:c r="K27" s="38" t="s">
        <x:v>173</x:v>
      </x:c>
      <x:c r="L27" s="38" t="s">
        <x:v>174</x:v>
      </x:c>
      <x:c r="M27" s="38" t="s">
        <x:v>255</x:v>
      </x:c>
    </x:row>
    <x:row r="28" ht="17.649999618530273" customHeight="1">
      <x:c r="A28" s="38">
        <x:v>27</x:v>
      </x:c>
      <x:c r="B28" s="38" t="s">
        <x:v>256</x:v>
      </x:c>
      <x:c r="C28" s="38" t="s">
        <x:v>493</x:v>
      </x:c>
      <x:c r="D28" s="38" t="s">
        <x:v>141</x:v>
      </x:c>
      <x:c r="E28" s="38" t="s">
        <x:v>603</x:v>
      </x:c>
      <x:c r="F28" s="38" t="s">
        <x:v>150</x:v>
      </x:c>
      <x:c r="G28" s="38" t="s">
        <x:v>143</x:v>
      </x:c>
      <x:c r="H28" s="38" t="s">
        <x:v>144</x:v>
      </x:c>
      <x:c r="I28" s="38" t="s">
        <x:v>257</x:v>
      </x:c>
      <x:c r="J28" s="38" t="s">
        <x:v>118</x:v>
      </x:c>
      <x:c r="K28" s="38" t="s">
        <x:v>146</x:v>
      </x:c>
      <x:c r="L28" s="38" t="s">
        <x:v>147</x:v>
      </x:c>
      <x:c r="M28" s="38" t="s">
        <x:v>258</x:v>
      </x:c>
    </x:row>
    <x:row r="29" ht="17.649999618530273" customHeight="1">
      <x:c r="A29" s="38">
        <x:v>28</x:v>
      </x:c>
      <x:c r="B29" s="38" t="s">
        <x:v>259</x:v>
      </x:c>
      <x:c r="C29" s="38" t="s">
        <x:v>494</x:v>
      </x:c>
      <x:c r="D29" s="38" t="s">
        <x:v>260</x:v>
      </x:c>
      <x:c r="E29" s="38" t="s">
        <x:v>604</x:v>
      </x:c>
      <x:c r="F29" s="38" t="s">
        <x:v>177</x:v>
      </x:c>
      <x:c r="G29" s="38" t="s">
        <x:v>261</x:v>
      </x:c>
      <x:c r="H29" s="38" t="s">
        <x:v>262</x:v>
      </x:c>
      <x:c r="I29" s="38" t="s">
        <x:v>263</x:v>
      </x:c>
      <x:c r="J29" s="38" t="s">
        <x:v>118</x:v>
      </x:c>
      <x:c r="K29" s="38" t="s">
        <x:v>264</x:v>
      </x:c>
      <x:c r="L29" s="38" t="s">
        <x:v>265</x:v>
      </x:c>
      <x:c r="M29" s="38" t="s">
        <x:v>266</x:v>
      </x:c>
    </x:row>
    <x:row r="30" ht="17.649999618530273" customHeight="1">
      <x:c r="A30" s="38">
        <x:v>29</x:v>
      </x:c>
      <x:c r="B30" s="38" t="s">
        <x:v>267</x:v>
      </x:c>
      <x:c r="C30" s="38" t="s">
        <x:v>495</x:v>
      </x:c>
      <x:c r="D30" s="38" t="s">
        <x:v>191</x:v>
      </x:c>
      <x:c r="E30" s="38" t="s">
        <x:v>605</x:v>
      </x:c>
      <x:c r="F30" s="38" t="s">
        <x:v>268</x:v>
      </x:c>
      <x:c r="G30" s="38" t="s">
        <x:v>192</x:v>
      </x:c>
      <x:c r="H30" s="38" t="s">
        <x:v>193</x:v>
      </x:c>
      <x:c r="I30" s="38" t="s">
        <x:v>269</x:v>
      </x:c>
      <x:c r="J30" s="38" t="s">
        <x:v>195</x:v>
      </x:c>
      <x:c r="K30" s="38" t="s">
        <x:v>196</x:v>
      </x:c>
      <x:c r="L30" s="38" t="s">
        <x:v>197</x:v>
      </x:c>
      <x:c r="M30" s="38" t="s">
        <x:v>270</x:v>
      </x:c>
    </x:row>
    <x:row r="31" ht="17.649999618530273" customHeight="1">
      <x:c r="A31" s="38">
        <x:v>30</x:v>
      </x:c>
      <x:c r="B31" s="38" t="s">
        <x:v>271</x:v>
      </x:c>
      <x:c r="C31" s="38" t="s">
        <x:v>496</x:v>
      </x:c>
      <x:c r="D31" s="38" t="s">
        <x:v>272</x:v>
      </x:c>
      <x:c r="E31" s="38" t="s">
        <x:v>606</x:v>
      </x:c>
      <x:c r="F31" s="38" t="s">
        <x:v>273</x:v>
      </x:c>
      <x:c r="G31" s="38" t="s">
        <x:v>274</x:v>
      </x:c>
      <x:c r="H31" s="38" t="s">
        <x:v>275</x:v>
      </x:c>
      <x:c r="I31" s="38" t="s">
        <x:v>276</x:v>
      </x:c>
      <x:c r="J31" s="38" t="s">
        <x:v>118</x:v>
      </x:c>
      <x:c r="K31" s="38" t="s">
        <x:v>277</x:v>
      </x:c>
      <x:c r="L31" s="38" t="s">
        <x:v>278</x:v>
      </x:c>
      <x:c r="M31" s="38" t="s">
        <x:v>279</x:v>
      </x:c>
    </x:row>
    <x:row r="32" ht="26.399999618530273" customHeight="1">
      <x:c r="A32" s="38">
        <x:v>31</x:v>
      </x:c>
      <x:c r="B32" s="38" t="s">
        <x:v>280</x:v>
      </x:c>
      <x:c r="C32" s="38" t="s">
        <x:v>470</x:v>
      </x:c>
      <x:c r="D32" s="38" t="s">
        <x:v>168</x:v>
      </x:c>
      <x:c r="E32" s="38" t="s">
        <x:v>586</x:v>
      </x:c>
      <x:c r="F32" s="38" t="s">
        <x:v>281</x:v>
      </x:c>
      <x:c r="G32" s="38" t="s">
        <x:v>170</x:v>
      </x:c>
      <x:c r="H32" s="38" t="s">
        <x:v>171</x:v>
      </x:c>
      <x:c r="I32" s="38" t="s">
        <x:v>282</x:v>
      </x:c>
      <x:c r="J32" s="38" t="s">
        <x:v>118</x:v>
      </x:c>
      <x:c r="K32" s="38" t="s">
        <x:v>173</x:v>
      </x:c>
      <x:c r="L32" s="38" t="s">
        <x:v>174</x:v>
      </x:c>
      <x:c r="M32" s="38" t="s">
        <x:v>283</x:v>
      </x:c>
    </x:row>
    <x:row r="33" ht="17.649999618530273" customHeight="1">
      <x:c r="A33" s="38">
        <x:v>32</x:v>
      </x:c>
      <x:c r="B33" s="38" t="s">
        <x:v>284</x:v>
      </x:c>
      <x:c r="C33" s="38" t="s">
        <x:v>488</x:v>
      </x:c>
      <x:c r="D33" s="38" t="s">
        <x:v>113</x:v>
      </x:c>
      <x:c r="E33" s="38" t="s">
        <x:v>607</x:v>
      </x:c>
      <x:c r="F33" s="38" t="s">
        <x:v>285</x:v>
      </x:c>
      <x:c r="G33" s="38" t="s">
        <x:v>115</x:v>
      </x:c>
      <x:c r="H33" s="38" t="s">
        <x:v>116</x:v>
      </x:c>
      <x:c r="I33" s="38" t="s">
        <x:v>286</x:v>
      </x:c>
      <x:c r="J33" s="38" t="s">
        <x:v>118</x:v>
      </x:c>
      <x:c r="K33" s="38" t="s">
        <x:v>119</x:v>
      </x:c>
      <x:c r="L33" s="38" t="s">
        <x:v>120</x:v>
      </x:c>
      <x:c r="M33" s="38" t="s">
        <x:v>287</x:v>
      </x:c>
    </x:row>
    <x:row r="34" ht="17.649999618530273" customHeight="1">
      <x:c r="A34" s="38">
        <x:v>33</x:v>
      </x:c>
      <x:c r="B34" s="38" t="s">
        <x:v>288</x:v>
      </x:c>
      <x:c r="C34" s="38" t="s">
        <x:v>470</x:v>
      </x:c>
      <x:c r="D34" s="38" t="s">
        <x:v>168</x:v>
      </x:c>
      <x:c r="E34" s="38" t="s">
        <x:v>586</x:v>
      </x:c>
      <x:c r="F34" s="38" t="s">
        <x:v>281</x:v>
      </x:c>
      <x:c r="G34" s="38" t="s">
        <x:v>170</x:v>
      </x:c>
      <x:c r="H34" s="38" t="s">
        <x:v>171</x:v>
      </x:c>
      <x:c r="I34" s="38" t="s">
        <x:v>289</x:v>
      </x:c>
      <x:c r="J34" s="38" t="s">
        <x:v>118</x:v>
      </x:c>
      <x:c r="K34" s="38" t="s">
        <x:v>173</x:v>
      </x:c>
      <x:c r="L34" s="38" t="s">
        <x:v>174</x:v>
      </x:c>
      <x:c r="M34" s="38" t="s">
        <x:v>290</x:v>
      </x:c>
    </x:row>
    <x:row r="35" ht="17.649999618530273" customHeight="1">
      <x:c r="A35" s="38">
        <x:v>34</x:v>
      </x:c>
      <x:c r="B35" s="38" t="s">
        <x:v>291</x:v>
      </x:c>
      <x:c r="C35" s="38" t="s">
        <x:v>491</x:v>
      </x:c>
      <x:c r="D35" s="38" t="s">
        <x:v>200</x:v>
      </x:c>
      <x:c r="E35" s="38" t="s">
        <x:v>601</x:v>
      </x:c>
      <x:c r="F35" s="38" t="s">
        <x:v>142</x:v>
      </x:c>
      <x:c r="G35" s="38" t="s">
        <x:v>201</x:v>
      </x:c>
      <x:c r="H35" s="38" t="s">
        <x:v>202</x:v>
      </x:c>
      <x:c r="I35" s="38" t="s">
        <x:v>292</x:v>
      </x:c>
      <x:c r="J35" s="38" t="s">
        <x:v>118</x:v>
      </x:c>
      <x:c r="K35" s="38" t="s">
        <x:v>204</x:v>
      </x:c>
      <x:c r="L35" s="38" t="s">
        <x:v>205</x:v>
      </x:c>
      <x:c r="M35" s="38" t="s">
        <x:v>293</x:v>
      </x:c>
    </x:row>
    <x:row r="36" ht="17.649999618530273" customHeight="1">
      <x:c r="A36" s="38">
        <x:v>35</x:v>
      </x:c>
      <x:c r="B36" s="38" t="s">
        <x:v>294</x:v>
      </x:c>
      <x:c r="C36" s="38" t="s">
        <x:v>490</x:v>
      </x:c>
      <x:c r="D36" s="38" t="s">
        <x:v>132</x:v>
      </x:c>
      <x:c r="E36" s="38" t="s">
        <x:v>608</x:v>
      </x:c>
      <x:c r="F36" s="38" t="s">
        <x:v>281</x:v>
      </x:c>
      <x:c r="G36" s="38" t="s">
        <x:v>134</x:v>
      </x:c>
      <x:c r="H36" s="38" t="s">
        <x:v>135</x:v>
      </x:c>
      <x:c r="I36" s="38" t="s">
        <x:v>295</x:v>
      </x:c>
      <x:c r="J36" s="38" t="s">
        <x:v>118</x:v>
      </x:c>
      <x:c r="K36" s="38" t="s">
        <x:v>137</x:v>
      </x:c>
      <x:c r="L36" s="38" t="s">
        <x:v>138</x:v>
      </x:c>
      <x:c r="M36" s="38" t="s">
        <x:v>296</x:v>
      </x:c>
    </x:row>
    <x:row r="37" ht="17.649999618530273" customHeight="1">
      <x:c r="A37" s="38">
        <x:v>36</x:v>
      </x:c>
      <x:c r="B37" s="38" t="s">
        <x:v>297</x:v>
      </x:c>
      <x:c r="C37" s="38" t="s">
        <x:v>488</x:v>
      </x:c>
      <x:c r="D37" s="38" t="s">
        <x:v>113</x:v>
      </x:c>
      <x:c r="E37" s="38" t="s">
        <x:v>609</x:v>
      </x:c>
      <x:c r="F37" s="38" t="s">
        <x:v>298</x:v>
      </x:c>
      <x:c r="G37" s="38" t="s">
        <x:v>115</x:v>
      </x:c>
      <x:c r="H37" s="38" t="s">
        <x:v>116</x:v>
      </x:c>
      <x:c r="I37" s="38" t="s">
        <x:v>299</x:v>
      </x:c>
      <x:c r="J37" s="38" t="s">
        <x:v>118</x:v>
      </x:c>
      <x:c r="K37" s="38" t="s">
        <x:v>119</x:v>
      </x:c>
      <x:c r="L37" s="38" t="s">
        <x:v>120</x:v>
      </x:c>
      <x:c r="M37" s="38" t="s">
        <x:v>300</x:v>
      </x:c>
    </x:row>
    <x:row r="38" ht="17.649999618530273" customHeight="1">
      <x:c r="A38" s="38">
        <x:v>37</x:v>
      </x:c>
      <x:c r="B38" s="38" t="s">
        <x:v>301</x:v>
      </x:c>
      <x:c r="C38" s="38" t="s">
        <x:v>489</x:v>
      </x:c>
      <x:c r="D38" s="38" t="s">
        <x:v>123</x:v>
      </x:c>
      <x:c r="E38" s="38" t="s">
        <x:v>585</x:v>
      </x:c>
      <x:c r="F38" s="38" t="s">
        <x:v>302</x:v>
      </x:c>
      <x:c r="G38" s="38" t="s">
        <x:v>125</x:v>
      </x:c>
      <x:c r="H38" s="38" t="s">
        <x:v>126</x:v>
      </x:c>
      <x:c r="I38" s="38" t="s">
        <x:v>303</x:v>
      </x:c>
      <x:c r="J38" s="38" t="s">
        <x:v>118</x:v>
      </x:c>
      <x:c r="K38" s="38" t="s">
        <x:v>128</x:v>
      </x:c>
      <x:c r="L38" s="38" t="s">
        <x:v>129</x:v>
      </x:c>
      <x:c r="M38" s="38" t="s">
        <x:v>304</x:v>
      </x:c>
    </x:row>
    <x:row r="39" ht="17.649999618530273" customHeight="1">
      <x:c r="A39" s="38">
        <x:v>38</x:v>
      </x:c>
      <x:c r="B39" s="38" t="s">
        <x:v>305</x:v>
      </x:c>
      <x:c r="C39" s="38" t="s">
        <x:v>480</x:v>
      </x:c>
      <x:c r="D39" s="38" t="s">
        <x:v>226</x:v>
      </x:c>
      <x:c r="E39" s="38" t="s">
        <x:v>610</x:v>
      </x:c>
      <x:c r="F39" s="38" t="s">
        <x:v>306</x:v>
      </x:c>
      <x:c r="G39" s="38" t="s">
        <x:v>228</x:v>
      </x:c>
      <x:c r="H39" s="38" t="s">
        <x:v>229</x:v>
      </x:c>
      <x:c r="I39" s="38" t="s">
        <x:v>307</x:v>
      </x:c>
      <x:c r="J39" s="38" t="s">
        <x:v>118</x:v>
      </x:c>
      <x:c r="K39" s="38" t="s">
        <x:v>231</x:v>
      </x:c>
      <x:c r="L39" s="38" t="s">
        <x:v>232</x:v>
      </x:c>
      <x:c r="M39" s="38" t="s">
        <x:v>308</x:v>
      </x:c>
    </x:row>
    <x:row r="40" ht="17.649999618530273" customHeight="1">
      <x:c r="A40" s="38">
        <x:v>39</x:v>
      </x:c>
      <x:c r="B40" s="38" t="s">
        <x:v>309</x:v>
      </x:c>
      <x:c r="C40" s="38" t="s">
        <x:v>490</x:v>
      </x:c>
      <x:c r="D40" s="38" t="s">
        <x:v>132</x:v>
      </x:c>
      <x:c r="E40" s="38" t="s">
        <x:v>611</x:v>
      </x:c>
      <x:c r="F40" s="38" t="s">
        <x:v>310</x:v>
      </x:c>
      <x:c r="G40" s="38" t="s">
        <x:v>134</x:v>
      </x:c>
      <x:c r="H40" s="38" t="s">
        <x:v>135</x:v>
      </x:c>
      <x:c r="I40" s="38" t="s">
        <x:v>311</x:v>
      </x:c>
      <x:c r="J40" s="38" t="s">
        <x:v>118</x:v>
      </x:c>
      <x:c r="K40" s="38" t="s">
        <x:v>137</x:v>
      </x:c>
      <x:c r="L40" s="38" t="s">
        <x:v>138</x:v>
      </x:c>
      <x:c r="M40" s="38" t="s">
        <x:v>312</x:v>
      </x:c>
    </x:row>
    <x:row r="41" ht="17.649999618530273" customHeight="1">
      <x:c r="A41" s="38">
        <x:v>40</x:v>
      </x:c>
      <x:c r="B41" s="38" t="s">
        <x:v>313</x:v>
      </x:c>
      <x:c r="C41" s="38" t="s">
        <x:v>490</x:v>
      </x:c>
      <x:c r="D41" s="38" t="s">
        <x:v>132</x:v>
      </x:c>
      <x:c r="E41" s="38" t="s">
        <x:v>612</x:v>
      </x:c>
      <x:c r="F41" s="38" t="s">
        <x:v>314</x:v>
      </x:c>
      <x:c r="G41" s="38" t="s">
        <x:v>134</x:v>
      </x:c>
      <x:c r="H41" s="38" t="s">
        <x:v>135</x:v>
      </x:c>
      <x:c r="I41" s="38" t="s">
        <x:v>315</x:v>
      </x:c>
      <x:c r="J41" s="38" t="s">
        <x:v>118</x:v>
      </x:c>
      <x:c r="K41" s="38" t="s">
        <x:v>137</x:v>
      </x:c>
      <x:c r="L41" s="38" t="s">
        <x:v>138</x:v>
      </x:c>
      <x:c r="M41" s="38" t="s">
        <x:v>316</x:v>
      </x:c>
    </x:row>
    <x:row r="42" ht="17.649999618530273" customHeight="1">
      <x:c r="A42" s="38">
        <x:v>41</x:v>
      </x:c>
      <x:c r="B42" s="38" t="s">
        <x:v>317</x:v>
      </x:c>
      <x:c r="C42" s="38" t="s">
        <x:v>497</x:v>
      </x:c>
      <x:c r="D42" s="38" t="s">
        <x:v>318</x:v>
      </x:c>
      <x:c r="E42" s="38" t="s">
        <x:v>613</x:v>
      </x:c>
      <x:c r="F42" s="38" t="s">
        <x:v>319</x:v>
      </x:c>
      <x:c r="G42" s="38" t="s">
        <x:v>320</x:v>
      </x:c>
      <x:c r="H42" s="38" t="s">
        <x:v>321</x:v>
      </x:c>
      <x:c r="I42" s="38" t="s">
        <x:v>322</x:v>
      </x:c>
      <x:c r="J42" s="38" t="s">
        <x:v>118</x:v>
      </x:c>
      <x:c r="K42" s="38" t="s">
        <x:v>323</x:v>
      </x:c>
      <x:c r="L42" s="38" t="s">
        <x:v>324</x:v>
      </x:c>
      <x:c r="M42" s="38" t="s">
        <x:v>325</x:v>
      </x:c>
    </x:row>
    <x:row r="43" ht="17.649999618530273" customHeight="1">
      <x:c r="A43" s="38">
        <x:v>42</x:v>
      </x:c>
      <x:c r="B43" s="38" t="s">
        <x:v>326</x:v>
      </x:c>
      <x:c r="C43" s="38" t="s">
        <x:v>490</x:v>
      </x:c>
      <x:c r="D43" s="38" t="s">
        <x:v>132</x:v>
      </x:c>
      <x:c r="E43" s="38" t="s">
        <x:v>614</x:v>
      </x:c>
      <x:c r="F43" s="38" t="s">
        <x:v>281</x:v>
      </x:c>
      <x:c r="G43" s="38" t="s">
        <x:v>134</x:v>
      </x:c>
      <x:c r="H43" s="38" t="s">
        <x:v>135</x:v>
      </x:c>
      <x:c r="I43" s="38" t="s">
        <x:v>327</x:v>
      </x:c>
      <x:c r="J43" s="38" t="s">
        <x:v>118</x:v>
      </x:c>
      <x:c r="K43" s="38" t="s">
        <x:v>137</x:v>
      </x:c>
      <x:c r="L43" s="38" t="s">
        <x:v>138</x:v>
      </x:c>
      <x:c r="M43" s="38" t="s">
        <x:v>328</x:v>
      </x:c>
    </x:row>
    <x:row r="44" ht="17.649999618530273" customHeight="1">
      <x:c r="A44" s="38">
        <x:v>43</x:v>
      </x:c>
      <x:c r="B44" s="38" t="s">
        <x:v>329</x:v>
      </x:c>
      <x:c r="C44" s="38" t="s">
        <x:v>488</x:v>
      </x:c>
      <x:c r="D44" s="38" t="s">
        <x:v>113</x:v>
      </x:c>
      <x:c r="E44" s="38" t="s">
        <x:v>607</x:v>
      </x:c>
      <x:c r="F44" s="38" t="s">
        <x:v>330</x:v>
      </x:c>
      <x:c r="G44" s="38" t="s">
        <x:v>115</x:v>
      </x:c>
      <x:c r="H44" s="38" t="s">
        <x:v>116</x:v>
      </x:c>
      <x:c r="I44" s="38" t="s">
        <x:v>331</x:v>
      </x:c>
      <x:c r="J44" s="38" t="s">
        <x:v>118</x:v>
      </x:c>
      <x:c r="K44" s="38" t="s">
        <x:v>119</x:v>
      </x:c>
      <x:c r="L44" s="38" t="s">
        <x:v>120</x:v>
      </x:c>
      <x:c r="M44" s="38" t="s">
        <x:v>332</x:v>
      </x:c>
    </x:row>
    <x:row r="45" ht="26.399999618530273" customHeight="1">
      <x:c r="A45" s="38">
        <x:v>44</x:v>
      </x:c>
      <x:c r="B45" s="38" t="s">
        <x:v>333</x:v>
      </x:c>
      <x:c r="C45" s="38" t="s">
        <x:v>470</x:v>
      </x:c>
      <x:c r="D45" s="38" t="s">
        <x:v>168</x:v>
      </x:c>
      <x:c r="E45" s="38" t="s">
        <x:v>615</x:v>
      </x:c>
      <x:c r="F45" s="38" t="s">
        <x:v>142</x:v>
      </x:c>
      <x:c r="G45" s="38" t="s">
        <x:v>170</x:v>
      </x:c>
      <x:c r="H45" s="38" t="s">
        <x:v>171</x:v>
      </x:c>
      <x:c r="I45" s="38" t="s">
        <x:v>334</x:v>
      </x:c>
      <x:c r="J45" s="38" t="s">
        <x:v>118</x:v>
      </x:c>
      <x:c r="K45" s="38" t="s">
        <x:v>173</x:v>
      </x:c>
      <x:c r="L45" s="38" t="s">
        <x:v>174</x:v>
      </x:c>
      <x:c r="M45" s="38" t="s">
        <x:v>335</x:v>
      </x:c>
    </x:row>
    <x:row r="46" ht="17.649999618530273" customHeight="1">
      <x:c r="A46" s="38">
        <x:v>45</x:v>
      </x:c>
      <x:c r="B46" s="38" t="s">
        <x:v>336</x:v>
      </x:c>
      <x:c r="C46" s="38" t="s">
        <x:v>497</x:v>
      </x:c>
      <x:c r="D46" s="38" t="s">
        <x:v>318</x:v>
      </x:c>
      <x:c r="E46" s="38" t="s">
        <x:v>616</x:v>
      </x:c>
      <x:c r="F46" s="38" t="s">
        <x:v>337</x:v>
      </x:c>
      <x:c r="G46" s="38" t="s">
        <x:v>320</x:v>
      </x:c>
      <x:c r="H46" s="38" t="s">
        <x:v>321</x:v>
      </x:c>
      <x:c r="I46" s="38" t="s">
        <x:v>338</x:v>
      </x:c>
      <x:c r="J46" s="38" t="s">
        <x:v>118</x:v>
      </x:c>
      <x:c r="K46" s="38" t="s">
        <x:v>323</x:v>
      </x:c>
      <x:c r="L46" s="38" t="s">
        <x:v>324</x:v>
      </x:c>
      <x:c r="M46" s="38" t="s">
        <x:v>339</x:v>
      </x:c>
    </x:row>
    <x:row r="47" ht="17.649999618530273" customHeight="1">
      <x:c r="A47" s="38">
        <x:v>46</x:v>
      </x:c>
      <x:c r="B47" s="38" t="s">
        <x:v>340</x:v>
      </x:c>
      <x:c r="C47" s="38" t="s">
        <x:v>494</x:v>
      </x:c>
      <x:c r="D47" s="38" t="s">
        <x:v>260</x:v>
      </x:c>
      <x:c r="E47" s="38" t="s">
        <x:v>617</x:v>
      </x:c>
      <x:c r="F47" s="38" t="s">
        <x:v>341</x:v>
      </x:c>
      <x:c r="G47" s="38" t="s">
        <x:v>261</x:v>
      </x:c>
      <x:c r="H47" s="38" t="s">
        <x:v>262</x:v>
      </x:c>
      <x:c r="I47" s="38" t="s">
        <x:v>342</x:v>
      </x:c>
      <x:c r="J47" s="38" t="s">
        <x:v>118</x:v>
      </x:c>
      <x:c r="K47" s="38" t="s">
        <x:v>264</x:v>
      </x:c>
      <x:c r="L47" s="38" t="s">
        <x:v>265</x:v>
      </x:c>
      <x:c r="M47" s="38" t="s">
        <x:v>343</x:v>
      </x:c>
    </x:row>
    <x:row r="48" ht="17.649999618530273" customHeight="1">
      <x:c r="A48" s="38">
        <x:v>47</x:v>
      </x:c>
      <x:c r="B48" s="38" t="s">
        <x:v>344</x:v>
      </x:c>
      <x:c r="C48" s="38" t="s">
        <x:v>488</x:v>
      </x:c>
      <x:c r="D48" s="38" t="s">
        <x:v>113</x:v>
      </x:c>
      <x:c r="E48" s="38" t="s">
        <x:v>609</x:v>
      </x:c>
      <x:c r="F48" s="38" t="s">
        <x:v>345</x:v>
      </x:c>
      <x:c r="G48" s="38" t="s">
        <x:v>115</x:v>
      </x:c>
      <x:c r="H48" s="38" t="s">
        <x:v>116</x:v>
      </x:c>
      <x:c r="I48" s="38" t="s">
        <x:v>346</x:v>
      </x:c>
      <x:c r="J48" s="38" t="s">
        <x:v>118</x:v>
      </x:c>
      <x:c r="K48" s="38" t="s">
        <x:v>119</x:v>
      </x:c>
      <x:c r="L48" s="38" t="s">
        <x:v>120</x:v>
      </x:c>
      <x:c r="M48" s="38" t="s">
        <x:v>347</x:v>
      </x:c>
    </x:row>
    <x:row r="49" ht="17.649999618530273" customHeight="1">
      <x:c r="A49" s="38">
        <x:v>48</x:v>
      </x:c>
      <x:c r="B49" s="38" t="s">
        <x:v>348</x:v>
      </x:c>
      <x:c r="C49" s="38" t="s">
        <x:v>490</x:v>
      </x:c>
      <x:c r="D49" s="38" t="s">
        <x:v>132</x:v>
      </x:c>
      <x:c r="E49" s="38" t="s">
        <x:v>618</x:v>
      </x:c>
      <x:c r="F49" s="38" t="s">
        <x:v>281</x:v>
      </x:c>
      <x:c r="G49" s="38" t="s">
        <x:v>134</x:v>
      </x:c>
      <x:c r="H49" s="38" t="s">
        <x:v>135</x:v>
      </x:c>
      <x:c r="I49" s="38" t="s">
        <x:v>349</x:v>
      </x:c>
      <x:c r="J49" s="38" t="s">
        <x:v>118</x:v>
      </x:c>
      <x:c r="K49" s="38" t="s">
        <x:v>137</x:v>
      </x:c>
      <x:c r="L49" s="38" t="s">
        <x:v>138</x:v>
      </x:c>
      <x:c r="M49" s="38" t="s">
        <x:v>350</x:v>
      </x:c>
    </x:row>
    <x:row r="50" ht="17.649999618530273" customHeight="1">
      <x:c r="A50" s="38">
        <x:v>49</x:v>
      </x:c>
      <x:c r="B50" s="38" t="s">
        <x:v>351</x:v>
      </x:c>
      <x:c r="C50" s="38" t="s">
        <x:v>489</x:v>
      </x:c>
      <x:c r="D50" s="38" t="s">
        <x:v>123</x:v>
      </x:c>
      <x:c r="E50" s="38" t="s">
        <x:v>619</x:v>
      </x:c>
      <x:c r="F50" s="38" t="s">
        <x:v>352</x:v>
      </x:c>
      <x:c r="G50" s="38" t="s">
        <x:v>125</x:v>
      </x:c>
      <x:c r="H50" s="38" t="s">
        <x:v>126</x:v>
      </x:c>
      <x:c r="I50" s="38" t="s">
        <x:v>353</x:v>
      </x:c>
      <x:c r="J50" s="38" t="s">
        <x:v>118</x:v>
      </x:c>
      <x:c r="K50" s="38" t="s">
        <x:v>128</x:v>
      </x:c>
      <x:c r="L50" s="38" t="s">
        <x:v>129</x:v>
      </x:c>
      <x:c r="M50" s="38" t="s">
        <x:v>354</x:v>
      </x:c>
    </x:row>
    <x:row r="51" ht="17.649999618530273" customHeight="1">
      <x:c r="A51" s="38">
        <x:v>50</x:v>
      </x:c>
      <x:c r="B51" s="38" t="s">
        <x:v>355</x:v>
      </x:c>
      <x:c r="C51" s="38" t="s">
        <x:v>488</x:v>
      </x:c>
      <x:c r="D51" s="38" t="s">
        <x:v>113</x:v>
      </x:c>
      <x:c r="E51" s="38" t="s">
        <x:v>609</x:v>
      </x:c>
      <x:c r="F51" s="38" t="s">
        <x:v>177</x:v>
      </x:c>
      <x:c r="G51" s="38" t="s">
        <x:v>115</x:v>
      </x:c>
      <x:c r="H51" s="38" t="s">
        <x:v>116</x:v>
      </x:c>
      <x:c r="I51" s="38" t="s">
        <x:v>356</x:v>
      </x:c>
      <x:c r="J51" s="38" t="s">
        <x:v>118</x:v>
      </x:c>
      <x:c r="K51" s="38" t="s">
        <x:v>119</x:v>
      </x:c>
      <x:c r="L51" s="38" t="s">
        <x:v>120</x:v>
      </x:c>
      <x:c r="M51" s="38" t="s">
        <x:v>357</x:v>
      </x:c>
    </x:row>
    <x:row r="52" ht="17.649999618530273" customHeight="1">
      <x:c r="A52" s="38">
        <x:v>51</x:v>
      </x:c>
      <x:c r="B52" s="38" t="s">
        <x:v>358</x:v>
      </x:c>
      <x:c r="C52" s="38" t="s">
        <x:v>497</x:v>
      </x:c>
      <x:c r="D52" s="38" t="s">
        <x:v>318</x:v>
      </x:c>
      <x:c r="E52" s="38" t="s">
        <x:v>620</x:v>
      </x:c>
      <x:c r="F52" s="38" t="s">
        <x:v>235</x:v>
      </x:c>
      <x:c r="G52" s="38" t="s">
        <x:v>320</x:v>
      </x:c>
      <x:c r="H52" s="38" t="s">
        <x:v>321</x:v>
      </x:c>
      <x:c r="I52" s="38" t="s">
        <x:v>359</x:v>
      </x:c>
      <x:c r="J52" s="38" t="s">
        <x:v>118</x:v>
      </x:c>
      <x:c r="K52" s="38" t="s">
        <x:v>323</x:v>
      </x:c>
      <x:c r="L52" s="38" t="s">
        <x:v>324</x:v>
      </x:c>
      <x:c r="M52" s="38" t="s">
        <x:v>360</x:v>
      </x:c>
    </x:row>
    <x:row r="53" ht="17.649999618530273" customHeight="1">
      <x:c r="A53" s="38">
        <x:v>52</x:v>
      </x:c>
      <x:c r="B53" s="38" t="s">
        <x:v>361</x:v>
      </x:c>
      <x:c r="C53" s="38" t="s">
        <x:v>470</x:v>
      </x:c>
      <x:c r="D53" s="38" t="s">
        <x:v>168</x:v>
      </x:c>
      <x:c r="E53" s="38" t="s">
        <x:v>615</x:v>
      </x:c>
      <x:c r="F53" s="38" t="s">
        <x:v>142</x:v>
      </x:c>
      <x:c r="G53" s="38" t="s">
        <x:v>170</x:v>
      </x:c>
      <x:c r="H53" s="38" t="s">
        <x:v>171</x:v>
      </x:c>
      <x:c r="I53" s="38" t="s">
        <x:v>362</x:v>
      </x:c>
      <x:c r="J53" s="38" t="s">
        <x:v>118</x:v>
      </x:c>
      <x:c r="K53" s="38" t="s">
        <x:v>173</x:v>
      </x:c>
      <x:c r="L53" s="38" t="s">
        <x:v>174</x:v>
      </x:c>
      <x:c r="M53" s="38" t="s">
        <x:v>363</x:v>
      </x:c>
    </x:row>
    <x:row r="54" ht="17.649999618530273" customHeight="1">
      <x:c r="A54" s="38">
        <x:v>53</x:v>
      </x:c>
      <x:c r="B54" s="38" t="s">
        <x:v>364</x:v>
      </x:c>
      <x:c r="C54" s="38" t="s">
        <x:v>489</x:v>
      </x:c>
      <x:c r="D54" s="38" t="s">
        <x:v>123</x:v>
      </x:c>
      <x:c r="E54" s="38" t="s">
        <x:v>585</x:v>
      </x:c>
      <x:c r="F54" s="38" t="s">
        <x:v>365</x:v>
      </x:c>
      <x:c r="G54" s="38" t="s">
        <x:v>125</x:v>
      </x:c>
      <x:c r="H54" s="38" t="s">
        <x:v>126</x:v>
      </x:c>
      <x:c r="I54" s="38" t="s">
        <x:v>366</x:v>
      </x:c>
      <x:c r="J54" s="38" t="s">
        <x:v>118</x:v>
      </x:c>
      <x:c r="K54" s="38" t="s">
        <x:v>128</x:v>
      </x:c>
      <x:c r="L54" s="38" t="s">
        <x:v>129</x:v>
      </x:c>
      <x:c r="M54" s="38" t="s">
        <x:v>367</x:v>
      </x:c>
    </x:row>
    <x:row r="55" ht="17.649999618530273" customHeight="1">
      <x:c r="A55" s="38">
        <x:v>54</x:v>
      </x:c>
      <x:c r="B55" s="38" t="s">
        <x:v>368</x:v>
      </x:c>
      <x:c r="C55" s="38" t="s">
        <x:v>490</x:v>
      </x:c>
      <x:c r="D55" s="38" t="s">
        <x:v>132</x:v>
      </x:c>
      <x:c r="E55" s="38" t="s">
        <x:v>614</x:v>
      </x:c>
      <x:c r="F55" s="38" t="s">
        <x:v>369</x:v>
      </x:c>
      <x:c r="G55" s="38" t="s">
        <x:v>134</x:v>
      </x:c>
      <x:c r="H55" s="38" t="s">
        <x:v>135</x:v>
      </x:c>
      <x:c r="I55" s="38" t="s">
        <x:v>370</x:v>
      </x:c>
      <x:c r="J55" s="38" t="s">
        <x:v>118</x:v>
      </x:c>
      <x:c r="K55" s="38" t="s">
        <x:v>137</x:v>
      </x:c>
      <x:c r="L55" s="38" t="s">
        <x:v>138</x:v>
      </x:c>
      <x:c r="M55" s="38" t="s">
        <x:v>371</x:v>
      </x:c>
    </x:row>
    <x:row r="56" ht="17.649999618530273" customHeight="1">
      <x:c r="A56" s="38">
        <x:v>55</x:v>
      </x:c>
      <x:c r="B56" s="38" t="s">
        <x:v>372</x:v>
      </x:c>
      <x:c r="C56" s="38" t="s">
        <x:v>475</x:v>
      </x:c>
      <x:c r="D56" s="38" t="s">
        <x:v>373</x:v>
      </x:c>
      <x:c r="E56" s="38" t="s">
        <x:v>621</x:v>
      </x:c>
      <x:c r="F56" s="38" t="s">
        <x:v>374</x:v>
      </x:c>
      <x:c r="G56" s="38" t="s">
        <x:v>375</x:v>
      </x:c>
      <x:c r="H56" s="38" t="s">
        <x:v>376</x:v>
      </x:c>
      <x:c r="I56" s="38" t="s">
        <x:v>377</x:v>
      </x:c>
      <x:c r="J56" s="38" t="s">
        <x:v>118</x:v>
      </x:c>
      <x:c r="K56" s="38" t="s">
        <x:v>378</x:v>
      </x:c>
      <x:c r="L56" s="38" t="s">
        <x:v>379</x:v>
      </x:c>
      <x:c r="M56" s="38" t="s">
        <x:v>380</x:v>
      </x:c>
    </x:row>
    <x:row r="57" ht="17.649999618530273" customHeight="1">
      <x:c r="A57" s="38">
        <x:v>56</x:v>
      </x:c>
      <x:c r="B57" s="38" t="s">
        <x:v>381</x:v>
      </x:c>
      <x:c r="C57" s="38" t="s">
        <x:v>490</x:v>
      </x:c>
      <x:c r="D57" s="38" t="s">
        <x:v>132</x:v>
      </x:c>
      <x:c r="E57" s="38" t="s">
        <x:v>614</x:v>
      </x:c>
      <x:c r="F57" s="38" t="s">
        <x:v>281</x:v>
      </x:c>
      <x:c r="G57" s="38" t="s">
        <x:v>134</x:v>
      </x:c>
      <x:c r="H57" s="38" t="s">
        <x:v>135</x:v>
      </x:c>
      <x:c r="I57" s="38" t="s">
        <x:v>382</x:v>
      </x:c>
      <x:c r="J57" s="38" t="s">
        <x:v>118</x:v>
      </x:c>
      <x:c r="K57" s="38" t="s">
        <x:v>137</x:v>
      </x:c>
      <x:c r="L57" s="38" t="s">
        <x:v>138</x:v>
      </x:c>
      <x:c r="M57" s="38" t="s">
        <x:v>383</x:v>
      </x:c>
    </x:row>
    <x:row r="58" ht="17.649999618530273" customHeight="1">
      <x:c r="A58" s="38">
        <x:v>57</x:v>
      </x:c>
      <x:c r="B58" s="38" t="s">
        <x:v>384</x:v>
      </x:c>
      <x:c r="C58" s="38" t="s">
        <x:v>493</x:v>
      </x:c>
      <x:c r="D58" s="38" t="s">
        <x:v>141</x:v>
      </x:c>
      <x:c r="E58" s="38" t="s">
        <x:v>622</x:v>
      </x:c>
      <x:c r="F58" s="38" t="s">
        <x:v>385</x:v>
      </x:c>
      <x:c r="G58" s="38" t="s">
        <x:v>143</x:v>
      </x:c>
      <x:c r="H58" s="38" t="s">
        <x:v>144</x:v>
      </x:c>
      <x:c r="I58" s="38" t="s">
        <x:v>386</x:v>
      </x:c>
      <x:c r="J58" s="38" t="s">
        <x:v>118</x:v>
      </x:c>
      <x:c r="K58" s="38" t="s">
        <x:v>146</x:v>
      </x:c>
      <x:c r="L58" s="38" t="s">
        <x:v>147</x:v>
      </x:c>
      <x:c r="M58" s="38" t="s">
        <x:v>387</x:v>
      </x:c>
    </x:row>
    <x:row r="59" ht="17.649999618530273" customHeight="1">
      <x:c r="A59" s="38">
        <x:v>58</x:v>
      </x:c>
      <x:c r="B59" s="38" t="s">
        <x:v>388</x:v>
      </x:c>
      <x:c r="C59" s="38" t="s">
        <x:v>480</x:v>
      </x:c>
      <x:c r="D59" s="38" t="s">
        <x:v>226</x:v>
      </x:c>
      <x:c r="E59" s="38" t="s">
        <x:v>623</x:v>
      </x:c>
      <x:c r="F59" s="38" t="s">
        <x:v>389</x:v>
      </x:c>
      <x:c r="G59" s="38" t="s">
        <x:v>228</x:v>
      </x:c>
      <x:c r="H59" s="38" t="s">
        <x:v>229</x:v>
      </x:c>
      <x:c r="I59" s="38" t="s">
        <x:v>390</x:v>
      </x:c>
      <x:c r="J59" s="38" t="s">
        <x:v>118</x:v>
      </x:c>
      <x:c r="K59" s="38" t="s">
        <x:v>231</x:v>
      </x:c>
      <x:c r="L59" s="38" t="s">
        <x:v>232</x:v>
      </x:c>
      <x:c r="M59" s="38" t="s">
        <x:v>391</x:v>
      </x:c>
    </x:row>
    <x:row r="60" ht="17.649999618530273" customHeight="1">
      <x:c r="A60" s="38">
        <x:v>59</x:v>
      </x:c>
      <x:c r="B60" s="38" t="s">
        <x:v>392</x:v>
      </x:c>
      <x:c r="C60" s="38" t="s">
        <x:v>491</x:v>
      </x:c>
      <x:c r="D60" s="38" t="s">
        <x:v>200</x:v>
      </x:c>
      <x:c r="E60" s="38" t="s">
        <x:v>624</x:v>
      </x:c>
      <x:c r="F60" s="38" t="s">
        <x:v>393</x:v>
      </x:c>
      <x:c r="G60" s="38" t="s">
        <x:v>201</x:v>
      </x:c>
      <x:c r="H60" s="38" t="s">
        <x:v>202</x:v>
      </x:c>
      <x:c r="I60" s="38" t="s">
        <x:v>394</x:v>
      </x:c>
      <x:c r="J60" s="38" t="s">
        <x:v>118</x:v>
      </x:c>
      <x:c r="K60" s="38" t="s">
        <x:v>204</x:v>
      </x:c>
      <x:c r="L60" s="38" t="s">
        <x:v>205</x:v>
      </x:c>
      <x:c r="M60" s="38" t="s">
        <x:v>395</x:v>
      </x:c>
    </x:row>
    <x:row r="61" ht="17.649999618530273" customHeight="1">
      <x:c r="A61" s="38">
        <x:v>60</x:v>
      </x:c>
      <x:c r="B61" s="38" t="s">
        <x:v>396</x:v>
      </x:c>
      <x:c r="C61" s="38" t="s">
        <x:v>497</x:v>
      </x:c>
      <x:c r="D61" s="38" t="s">
        <x:v>318</x:v>
      </x:c>
      <x:c r="E61" s="38" t="s">
        <x:v>625</x:v>
      </x:c>
      <x:c r="F61" s="38" t="s">
        <x:v>397</x:v>
      </x:c>
      <x:c r="G61" s="38" t="s">
        <x:v>320</x:v>
      </x:c>
      <x:c r="H61" s="38" t="s">
        <x:v>321</x:v>
      </x:c>
      <x:c r="I61" s="38" t="s">
        <x:v>398</x:v>
      </x:c>
      <x:c r="J61" s="38" t="s">
        <x:v>118</x:v>
      </x:c>
      <x:c r="K61" s="38" t="s">
        <x:v>323</x:v>
      </x:c>
      <x:c r="L61" s="38" t="s">
        <x:v>324</x:v>
      </x:c>
      <x:c r="M61" s="38" t="s">
        <x:v>399</x:v>
      </x:c>
    </x:row>
    <x:row r="62" ht="17.649999618530273" customHeight="1">
      <x:c r="A62" s="38">
        <x:v>61</x:v>
      </x:c>
      <x:c r="B62" s="38" t="s">
        <x:v>626</x:v>
      </x:c>
      <x:c r="C62" s="38" t="s">
        <x:v>488</x:v>
      </x:c>
      <x:c r="D62" s="38" t="s">
        <x:v>113</x:v>
      </x:c>
      <x:c r="E62" s="38" t="s">
        <x:v>609</x:v>
      </x:c>
      <x:c r="F62" s="38" t="s">
        <x:v>235</x:v>
      </x:c>
      <x:c r="G62" s="38" t="s">
        <x:v>115</x:v>
      </x:c>
      <x:c r="H62" s="38" t="s">
        <x:v>116</x:v>
      </x:c>
      <x:c r="I62" s="38" t="s">
        <x:v>400</x:v>
      </x:c>
      <x:c r="J62" s="38" t="s">
        <x:v>118</x:v>
      </x:c>
      <x:c r="K62" s="38" t="s">
        <x:v>119</x:v>
      </x:c>
      <x:c r="L62" s="38" t="s">
        <x:v>120</x:v>
      </x:c>
      <x:c r="M62" s="38" t="s">
        <x:v>401</x:v>
      </x:c>
    </x:row>
    <x:row r="63" ht="17.649999618530273" customHeight="1">
      <x:c r="A63" s="38">
        <x:v>62</x:v>
      </x:c>
      <x:c r="B63" s="38" t="s">
        <x:v>627</x:v>
      </x:c>
      <x:c r="C63" s="38" t="s">
        <x:v>489</x:v>
      </x:c>
      <x:c r="D63" s="38" t="s">
        <x:v>123</x:v>
      </x:c>
      <x:c r="E63" s="38" t="s">
        <x:v>585</x:v>
      </x:c>
      <x:c r="F63" s="38" t="s">
        <x:v>302</x:v>
      </x:c>
      <x:c r="G63" s="38" t="s">
        <x:v>125</x:v>
      </x:c>
      <x:c r="H63" s="38" t="s">
        <x:v>126</x:v>
      </x:c>
      <x:c r="I63" s="38" t="s">
        <x:v>402</x:v>
      </x:c>
      <x:c r="J63" s="38" t="s">
        <x:v>118</x:v>
      </x:c>
      <x:c r="K63" s="38" t="s">
        <x:v>128</x:v>
      </x:c>
      <x:c r="L63" s="38" t="s">
        <x:v>129</x:v>
      </x:c>
      <x:c r="M63" s="38" t="s">
        <x:v>403</x:v>
      </x:c>
    </x:row>
    <x:row r="64" ht="17.649999618530273" customHeight="1">
      <x:c r="A64" s="38">
        <x:v>63</x:v>
      </x:c>
      <x:c r="B64" s="38" t="s">
        <x:v>628</x:v>
      </x:c>
      <x:c r="C64" s="38" t="s">
        <x:v>490</x:v>
      </x:c>
      <x:c r="D64" s="38" t="s">
        <x:v>132</x:v>
      </x:c>
      <x:c r="E64" s="38" t="s">
        <x:v>614</x:v>
      </x:c>
      <x:c r="F64" s="38" t="s">
        <x:v>281</x:v>
      </x:c>
      <x:c r="G64" s="38" t="s">
        <x:v>134</x:v>
      </x:c>
      <x:c r="H64" s="38" t="s">
        <x:v>135</x:v>
      </x:c>
      <x:c r="I64" s="38" t="s">
        <x:v>404</x:v>
      </x:c>
      <x:c r="J64" s="38" t="s">
        <x:v>118</x:v>
      </x:c>
      <x:c r="K64" s="38" t="s">
        <x:v>137</x:v>
      </x:c>
      <x:c r="L64" s="38" t="s">
        <x:v>138</x:v>
      </x:c>
      <x:c r="M64" s="38" t="s">
        <x:v>405</x:v>
      </x:c>
    </x:row>
    <x:row r="65" ht="17.649999618530273" customHeight="1">
      <x:c r="A65" s="38">
        <x:v>64</x:v>
      </x:c>
      <x:c r="B65" s="38" t="s">
        <x:v>629</x:v>
      </x:c>
      <x:c r="C65" s="38" t="s">
        <x:v>475</x:v>
      </x:c>
      <x:c r="D65" s="38" t="s">
        <x:v>373</x:v>
      </x:c>
      <x:c r="E65" s="38" t="s">
        <x:v>630</x:v>
      </x:c>
      <x:c r="F65" s="38" t="s">
        <x:v>142</x:v>
      </x:c>
      <x:c r="G65" s="38" t="s">
        <x:v>375</x:v>
      </x:c>
      <x:c r="H65" s="38" t="s">
        <x:v>376</x:v>
      </x:c>
      <x:c r="I65" s="38" t="s">
        <x:v>406</x:v>
      </x:c>
      <x:c r="J65" s="38" t="s">
        <x:v>118</x:v>
      </x:c>
      <x:c r="K65" s="38" t="s">
        <x:v>378</x:v>
      </x:c>
      <x:c r="L65" s="38" t="s">
        <x:v>379</x:v>
      </x:c>
      <x:c r="M65" s="38" t="s">
        <x:v>407</x:v>
      </x:c>
    </x:row>
    <x:row r="66" ht="17.649999618530273" customHeight="1">
      <x:c r="A66" s="38">
        <x:v>65</x:v>
      </x:c>
      <x:c r="B66" s="38" t="s">
        <x:v>631</x:v>
      </x:c>
      <x:c r="C66" s="38" t="s">
        <x:v>497</x:v>
      </x:c>
      <x:c r="D66" s="38" t="s">
        <x:v>318</x:v>
      </x:c>
      <x:c r="E66" s="38" t="s">
        <x:v>632</x:v>
      </x:c>
      <x:c r="F66" s="38" t="s">
        <x:v>408</x:v>
      </x:c>
      <x:c r="G66" s="38" t="s">
        <x:v>320</x:v>
      </x:c>
      <x:c r="H66" s="38" t="s">
        <x:v>321</x:v>
      </x:c>
      <x:c r="I66" s="38" t="s">
        <x:v>409</x:v>
      </x:c>
      <x:c r="J66" s="38" t="s">
        <x:v>118</x:v>
      </x:c>
      <x:c r="K66" s="38" t="s">
        <x:v>323</x:v>
      </x:c>
      <x:c r="L66" s="38" t="s">
        <x:v>324</x:v>
      </x:c>
      <x:c r="M66" s="38" t="s">
        <x:v>410</x:v>
      </x:c>
    </x:row>
    <x:row r="67" ht="17.649999618530273" customHeight="1">
      <x:c r="A67" s="38">
        <x:v>66</x:v>
      </x:c>
      <x:c r="B67" s="38" t="s">
        <x:v>633</x:v>
      </x:c>
      <x:c r="C67" s="38" t="s">
        <x:v>475</x:v>
      </x:c>
      <x:c r="D67" s="38" t="s">
        <x:v>373</x:v>
      </x:c>
      <x:c r="E67" s="38" t="s">
        <x:v>634</x:v>
      </x:c>
      <x:c r="F67" s="38" t="s">
        <x:v>298</x:v>
      </x:c>
      <x:c r="G67" s="38" t="s">
        <x:v>375</x:v>
      </x:c>
      <x:c r="H67" s="38" t="s">
        <x:v>376</x:v>
      </x:c>
      <x:c r="I67" s="38" t="s">
        <x:v>411</x:v>
      </x:c>
      <x:c r="J67" s="38" t="s">
        <x:v>118</x:v>
      </x:c>
      <x:c r="K67" s="38" t="s">
        <x:v>378</x:v>
      </x:c>
      <x:c r="L67" s="38" t="s">
        <x:v>379</x:v>
      </x:c>
      <x:c r="M67" s="38" t="s">
        <x:v>412</x:v>
      </x:c>
    </x:row>
    <x:row r="68" ht="17.649999618530273" customHeight="1">
      <x:c r="A68" s="38">
        <x:v>67</x:v>
      </x:c>
      <x:c r="B68" s="38" t="s">
        <x:v>635</x:v>
      </x:c>
      <x:c r="C68" s="38" t="s">
        <x:v>490</x:v>
      </x:c>
      <x:c r="D68" s="38" t="s">
        <x:v>132</x:v>
      </x:c>
      <x:c r="E68" s="38" t="s">
        <x:v>608</x:v>
      </x:c>
      <x:c r="F68" s="38" t="s">
        <x:v>281</x:v>
      </x:c>
      <x:c r="G68" s="38" t="s">
        <x:v>134</x:v>
      </x:c>
      <x:c r="H68" s="38" t="s">
        <x:v>135</x:v>
      </x:c>
      <x:c r="I68" s="38" t="s">
        <x:v>413</x:v>
      </x:c>
      <x:c r="J68" s="38" t="s">
        <x:v>118</x:v>
      </x:c>
      <x:c r="K68" s="38" t="s">
        <x:v>137</x:v>
      </x:c>
      <x:c r="L68" s="38" t="s">
        <x:v>138</x:v>
      </x:c>
      <x:c r="M68" s="38" t="s">
        <x:v>414</x:v>
      </x:c>
    </x:row>
    <x:row r="69" ht="17.649999618530273" customHeight="1">
      <x:c r="A69" s="38">
        <x:v>68</x:v>
      </x:c>
      <x:c r="B69" s="38" t="s">
        <x:v>636</x:v>
      </x:c>
      <x:c r="C69" s="38" t="s">
        <x:v>475</x:v>
      </x:c>
      <x:c r="D69" s="38" t="s">
        <x:v>373</x:v>
      </x:c>
      <x:c r="E69" s="38" t="s">
        <x:v>637</x:v>
      </x:c>
      <x:c r="F69" s="38" t="s">
        <x:v>150</x:v>
      </x:c>
      <x:c r="G69" s="38" t="s">
        <x:v>375</x:v>
      </x:c>
      <x:c r="H69" s="38" t="s">
        <x:v>376</x:v>
      </x:c>
      <x:c r="I69" s="38" t="s">
        <x:v>415</x:v>
      </x:c>
      <x:c r="J69" s="38" t="s">
        <x:v>118</x:v>
      </x:c>
      <x:c r="K69" s="38" t="s">
        <x:v>378</x:v>
      </x:c>
      <x:c r="L69" s="38" t="s">
        <x:v>379</x:v>
      </x:c>
      <x:c r="M69" s="38" t="s">
        <x:v>416</x:v>
      </x:c>
    </x:row>
    <x:row r="70" ht="17.649999618530273" customHeight="1">
      <x:c r="A70" s="38">
        <x:v>69</x:v>
      </x:c>
      <x:c r="B70" s="38" t="s">
        <x:v>638</x:v>
      </x:c>
      <x:c r="C70" s="38" t="s">
        <x:v>493</x:v>
      </x:c>
      <x:c r="D70" s="38" t="s">
        <x:v>141</x:v>
      </x:c>
      <x:c r="E70" s="38" t="s">
        <x:v>639</x:v>
      </x:c>
      <x:c r="F70" s="38" t="s">
        <x:v>310</x:v>
      </x:c>
      <x:c r="G70" s="38" t="s">
        <x:v>143</x:v>
      </x:c>
      <x:c r="H70" s="38" t="s">
        <x:v>144</x:v>
      </x:c>
      <x:c r="I70" s="38" t="s">
        <x:v>417</x:v>
      </x:c>
      <x:c r="J70" s="38" t="s">
        <x:v>118</x:v>
      </x:c>
      <x:c r="K70" s="38" t="s">
        <x:v>146</x:v>
      </x:c>
      <x:c r="L70" s="38" t="s">
        <x:v>147</x:v>
      </x:c>
      <x:c r="M70" s="38" t="s">
        <x:v>418</x:v>
      </x:c>
    </x:row>
    <x:row r="71" ht="17.649999618530273" customHeight="1">
      <x:c r="A71" s="38">
        <x:v>70</x:v>
      </x:c>
      <x:c r="B71" s="38" t="s">
        <x:v>640</x:v>
      </x:c>
      <x:c r="C71" s="38" t="s">
        <x:v>492</x:v>
      </x:c>
      <x:c r="D71" s="38" t="s">
        <x:v>158</x:v>
      </x:c>
      <x:c r="E71" s="38" t="s">
        <x:v>641</x:v>
      </x:c>
      <x:c r="F71" s="38" t="s">
        <x:v>419</x:v>
      </x:c>
      <x:c r="G71" s="38" t="s">
        <x:v>160</x:v>
      </x:c>
      <x:c r="H71" s="38" t="s">
        <x:v>161</x:v>
      </x:c>
      <x:c r="I71" s="38" t="s">
        <x:v>420</x:v>
      </x:c>
      <x:c r="J71" s="38" t="s">
        <x:v>163</x:v>
      </x:c>
      <x:c r="K71" s="38" t="s">
        <x:v>164</x:v>
      </x:c>
      <x:c r="L71" s="38" t="s">
        <x:v>165</x:v>
      </x:c>
      <x:c r="M71" s="38" t="s">
        <x:v>421</x:v>
      </x:c>
    </x:row>
    <x:row r="72" ht="17.649999618530273" customHeight="1">
      <x:c r="A72" s="38">
        <x:v>71</x:v>
      </x:c>
      <x:c r="B72" s="38" t="s">
        <x:v>642</x:v>
      </x:c>
      <x:c r="C72" s="38" t="s">
        <x:v>490</x:v>
      </x:c>
      <x:c r="D72" s="38" t="s">
        <x:v>132</x:v>
      </x:c>
      <x:c r="E72" s="38" t="s">
        <x:v>614</x:v>
      </x:c>
      <x:c r="F72" s="38" t="s">
        <x:v>422</x:v>
      </x:c>
      <x:c r="G72" s="38" t="s">
        <x:v>134</x:v>
      </x:c>
      <x:c r="H72" s="38" t="s">
        <x:v>135</x:v>
      </x:c>
      <x:c r="I72" s="38" t="s">
        <x:v>423</x:v>
      </x:c>
      <x:c r="J72" s="38" t="s">
        <x:v>118</x:v>
      </x:c>
      <x:c r="K72" s="38" t="s">
        <x:v>137</x:v>
      </x:c>
      <x:c r="L72" s="38" t="s">
        <x:v>138</x:v>
      </x:c>
      <x:c r="M72" s="38" t="s">
        <x:v>424</x:v>
      </x:c>
    </x:row>
    <x:row r="73" ht="17.649999618530273" customHeight="1">
      <x:c r="A73" s="38">
        <x:v>72</x:v>
      </x:c>
      <x:c r="B73" s="38" t="s">
        <x:v>643</x:v>
      </x:c>
      <x:c r="C73" s="38" t="s">
        <x:v>488</x:v>
      </x:c>
      <x:c r="D73" s="38" t="s">
        <x:v>113</x:v>
      </x:c>
      <x:c r="E73" s="38" t="s">
        <x:v>584</x:v>
      </x:c>
      <x:c r="F73" s="38" t="s">
        <x:v>319</x:v>
      </x:c>
      <x:c r="G73" s="38" t="s">
        <x:v>115</x:v>
      </x:c>
      <x:c r="H73" s="38" t="s">
        <x:v>116</x:v>
      </x:c>
      <x:c r="I73" s="38" t="s">
        <x:v>425</x:v>
      </x:c>
      <x:c r="J73" s="38" t="s">
        <x:v>118</x:v>
      </x:c>
      <x:c r="K73" s="38" t="s">
        <x:v>119</x:v>
      </x:c>
      <x:c r="L73" s="38" t="s">
        <x:v>120</x:v>
      </x:c>
      <x:c r="M73" s="38" t="s">
        <x:v>426</x:v>
      </x:c>
    </x:row>
    <x:row r="74" ht="17.649999618530273" customHeight="1">
      <x:c r="A74" s="38">
        <x:v>73</x:v>
      </x:c>
      <x:c r="B74" s="38" t="s">
        <x:v>644</x:v>
      </x:c>
      <x:c r="C74" s="38" t="s">
        <x:v>488</x:v>
      </x:c>
      <x:c r="D74" s="38" t="s">
        <x:v>113</x:v>
      </x:c>
      <x:c r="E74" s="38" t="s">
        <x:v>645</x:v>
      </x:c>
      <x:c r="F74" s="38" t="s">
        <x:v>427</x:v>
      </x:c>
      <x:c r="G74" s="38" t="s">
        <x:v>115</x:v>
      </x:c>
      <x:c r="H74" s="38" t="s">
        <x:v>116</x:v>
      </x:c>
      <x:c r="I74" s="38" t="s">
        <x:v>428</x:v>
      </x:c>
      <x:c r="J74" s="38" t="s">
        <x:v>118</x:v>
      </x:c>
      <x:c r="K74" s="38" t="s">
        <x:v>119</x:v>
      </x:c>
      <x:c r="L74" s="38" t="s">
        <x:v>120</x:v>
      </x:c>
      <x:c r="M74" s="38" t="s">
        <x:v>429</x:v>
      </x:c>
    </x:row>
    <x:row r="75" ht="17.649999618530273" customHeight="1">
      <x:c r="A75" s="38">
        <x:v>74</x:v>
      </x:c>
      <x:c r="B75" s="38" t="s">
        <x:v>646</x:v>
      </x:c>
      <x:c r="C75" s="38" t="s">
        <x:v>491</x:v>
      </x:c>
      <x:c r="D75" s="38" t="s">
        <x:v>200</x:v>
      </x:c>
      <x:c r="E75" s="38" t="s">
        <x:v>615</x:v>
      </x:c>
      <x:c r="F75" s="38" t="s">
        <x:v>142</x:v>
      </x:c>
      <x:c r="G75" s="38" t="s">
        <x:v>201</x:v>
      </x:c>
      <x:c r="H75" s="38" t="s">
        <x:v>202</x:v>
      </x:c>
      <x:c r="I75" s="38" t="s">
        <x:v>430</x:v>
      </x:c>
      <x:c r="J75" s="38" t="s">
        <x:v>118</x:v>
      </x:c>
      <x:c r="K75" s="38" t="s">
        <x:v>204</x:v>
      </x:c>
      <x:c r="L75" s="38" t="s">
        <x:v>205</x:v>
      </x:c>
      <x:c r="M75" s="38" t="s">
        <x:v>431</x:v>
      </x:c>
    </x:row>
    <x:row r="76" ht="17.649999618530273" customHeight="1">
      <x:c r="A76" s="38">
        <x:v>75</x:v>
      </x:c>
      <x:c r="B76" s="38" t="s">
        <x:v>647</x:v>
      </x:c>
      <x:c r="C76" s="38" t="s">
        <x:v>475</x:v>
      </x:c>
      <x:c r="D76" s="38" t="s">
        <x:v>373</x:v>
      </x:c>
      <x:c r="E76" s="38" t="s">
        <x:v>648</x:v>
      </x:c>
      <x:c r="F76" s="38" t="s">
        <x:v>150</x:v>
      </x:c>
      <x:c r="G76" s="38" t="s">
        <x:v>375</x:v>
      </x:c>
      <x:c r="H76" s="38" t="s">
        <x:v>376</x:v>
      </x:c>
      <x:c r="I76" s="38" t="s">
        <x:v>432</x:v>
      </x:c>
      <x:c r="J76" s="38" t="s">
        <x:v>118</x:v>
      </x:c>
      <x:c r="K76" s="38" t="s">
        <x:v>378</x:v>
      </x:c>
      <x:c r="L76" s="38" t="s">
        <x:v>379</x:v>
      </x:c>
      <x:c r="M76" s="38" t="s">
        <x:v>433</x:v>
      </x:c>
    </x:row>
    <x:row r="77" ht="17.649999618530273" customHeight="1">
      <x:c r="A77" s="38">
        <x:v>76</x:v>
      </x:c>
      <x:c r="B77" s="38" t="s">
        <x:v>649</x:v>
      </x:c>
      <x:c r="C77" s="38" t="s">
        <x:v>491</x:v>
      </x:c>
      <x:c r="D77" s="38" t="s">
        <x:v>200</x:v>
      </x:c>
      <x:c r="E77" s="38" t="s">
        <x:v>594</x:v>
      </x:c>
      <x:c r="F77" s="38" t="s">
        <x:v>434</x:v>
      </x:c>
      <x:c r="G77" s="38" t="s">
        <x:v>201</x:v>
      </x:c>
      <x:c r="H77" s="38" t="s">
        <x:v>202</x:v>
      </x:c>
      <x:c r="I77" s="38" t="s">
        <x:v>435</x:v>
      </x:c>
      <x:c r="J77" s="38" t="s">
        <x:v>118</x:v>
      </x:c>
      <x:c r="K77" s="38" t="s">
        <x:v>204</x:v>
      </x:c>
      <x:c r="L77" s="38" t="s">
        <x:v>205</x:v>
      </x:c>
      <x:c r="M77" s="38" t="s">
        <x:v>436</x:v>
      </x:c>
    </x:row>
    <x:row r="78" ht="17.649999618530273" customHeight="1">
      <x:c r="A78" s="38">
        <x:v>77</x:v>
      </x:c>
      <x:c r="B78" s="38" t="s">
        <x:v>650</x:v>
      </x:c>
      <x:c r="C78" s="38" t="s">
        <x:v>490</x:v>
      </x:c>
      <x:c r="D78" s="38" t="s">
        <x:v>132</x:v>
      </x:c>
      <x:c r="E78" s="38" t="s">
        <x:v>614</x:v>
      </x:c>
      <x:c r="F78" s="38" t="s">
        <x:v>281</x:v>
      </x:c>
      <x:c r="G78" s="38" t="s">
        <x:v>134</x:v>
      </x:c>
      <x:c r="H78" s="38" t="s">
        <x:v>135</x:v>
      </x:c>
      <x:c r="I78" s="38" t="s">
        <x:v>437</x:v>
      </x:c>
      <x:c r="J78" s="38" t="s">
        <x:v>118</x:v>
      </x:c>
      <x:c r="K78" s="38" t="s">
        <x:v>137</x:v>
      </x:c>
      <x:c r="L78" s="38" t="s">
        <x:v>138</x:v>
      </x:c>
      <x:c r="M78" s="38" t="s">
        <x:v>438</x:v>
      </x:c>
    </x:row>
    <x:row r="79" ht="17.649999618530273" customHeight="1">
      <x:c r="A79" s="38">
        <x:v>78</x:v>
      </x:c>
      <x:c r="B79" s="38" t="s">
        <x:v>651</x:v>
      </x:c>
      <x:c r="C79" s="38" t="s">
        <x:v>488</x:v>
      </x:c>
      <x:c r="D79" s="38" t="s">
        <x:v>113</x:v>
      </x:c>
      <x:c r="E79" s="38" t="s">
        <x:v>584</x:v>
      </x:c>
      <x:c r="F79" s="38" t="s">
        <x:v>439</x:v>
      </x:c>
      <x:c r="G79" s="38" t="s">
        <x:v>115</x:v>
      </x:c>
      <x:c r="H79" s="38" t="s">
        <x:v>116</x:v>
      </x:c>
      <x:c r="I79" s="38" t="s">
        <x:v>440</x:v>
      </x:c>
      <x:c r="J79" s="38" t="s">
        <x:v>118</x:v>
      </x:c>
      <x:c r="K79" s="38" t="s">
        <x:v>119</x:v>
      </x:c>
      <x:c r="L79" s="38" t="s">
        <x:v>120</x:v>
      </x:c>
      <x:c r="M79" s="38" t="s">
        <x:v>441</x:v>
      </x:c>
    </x:row>
    <x:row r="80" ht="17.649999618530273" customHeight="1">
      <x:c r="A80" s="38">
        <x:v>79</x:v>
      </x:c>
      <x:c r="B80" s="38" t="s">
        <x:v>652</x:v>
      </x:c>
      <x:c r="C80" s="38" t="s">
        <x:v>489</x:v>
      </x:c>
      <x:c r="D80" s="38" t="s">
        <x:v>123</x:v>
      </x:c>
      <x:c r="E80" s="38" t="s">
        <x:v>585</x:v>
      </x:c>
      <x:c r="F80" s="38" t="s">
        <x:v>442</x:v>
      </x:c>
      <x:c r="G80" s="38" t="s">
        <x:v>125</x:v>
      </x:c>
      <x:c r="H80" s="38" t="s">
        <x:v>126</x:v>
      </x:c>
      <x:c r="I80" s="38" t="s">
        <x:v>443</x:v>
      </x:c>
      <x:c r="J80" s="38" t="s">
        <x:v>118</x:v>
      </x:c>
      <x:c r="K80" s="38" t="s">
        <x:v>128</x:v>
      </x:c>
      <x:c r="L80" s="38" t="s">
        <x:v>129</x:v>
      </x:c>
      <x:c r="M80" s="38" t="s">
        <x:v>444</x:v>
      </x:c>
    </x:row>
    <x:row r="81" ht="17.649999618530273" customHeight="1">
      <x:c r="A81" s="38">
        <x:v>80</x:v>
      </x:c>
      <x:c r="B81" s="38" t="s">
        <x:v>653</x:v>
      </x:c>
      <x:c r="C81" s="38" t="s">
        <x:v>490</x:v>
      </x:c>
      <x:c r="D81" s="38" t="s">
        <x:v>132</x:v>
      </x:c>
      <x:c r="E81" s="38" t="s">
        <x:v>618</x:v>
      </x:c>
      <x:c r="F81" s="38" t="s">
        <x:v>281</x:v>
      </x:c>
      <x:c r="G81" s="38" t="s">
        <x:v>134</x:v>
      </x:c>
      <x:c r="H81" s="38" t="s">
        <x:v>135</x:v>
      </x:c>
      <x:c r="I81" s="38" t="s">
        <x:v>445</x:v>
      </x:c>
      <x:c r="J81" s="38" t="s">
        <x:v>118</x:v>
      </x:c>
      <x:c r="K81" s="38" t="s">
        <x:v>137</x:v>
      </x:c>
      <x:c r="L81" s="38" t="s">
        <x:v>138</x:v>
      </x:c>
      <x:c r="M81" s="38" t="s">
        <x:v>446</x:v>
      </x:c>
    </x:row>
    <x:row r="82" ht="17.649999618530273" customHeight="1">
      <x:c r="A82" s="38">
        <x:v>81</x:v>
      </x:c>
      <x:c r="B82" s="38" t="s">
        <x:v>447</x:v>
      </x:c>
      <x:c r="C82" s="38" t="s">
        <x:v>488</x:v>
      </x:c>
      <x:c r="D82" s="38" t="s">
        <x:v>113</x:v>
      </x:c>
      <x:c r="E82" s="38" t="s">
        <x:v>584</x:v>
      </x:c>
      <x:c r="F82" s="38" t="s">
        <x:v>235</x:v>
      </x:c>
      <x:c r="G82" s="38" t="s">
        <x:v>115</x:v>
      </x:c>
      <x:c r="H82" s="38" t="s">
        <x:v>116</x:v>
      </x:c>
      <x:c r="I82" s="38" t="s">
        <x:v>448</x:v>
      </x:c>
      <x:c r="J82" s="38" t="s">
        <x:v>118</x:v>
      </x:c>
      <x:c r="K82" s="38" t="s">
        <x:v>119</x:v>
      </x:c>
      <x:c r="L82" s="38" t="s">
        <x:v>120</x:v>
      </x:c>
      <x:c r="M82" s="38" t="s">
        <x:v>449</x:v>
      </x:c>
    </x:row>
    <x:row r="83" ht="17.649999618530273" customHeight="1">
      <x:c r="A83" s="38">
        <x:v>82</x:v>
      </x:c>
      <x:c r="B83" s="38" t="s">
        <x:v>450</x:v>
      </x:c>
      <x:c r="C83" s="38" t="s">
        <x:v>490</x:v>
      </x:c>
      <x:c r="D83" s="38" t="s">
        <x:v>132</x:v>
      </x:c>
      <x:c r="E83" s="38" t="s">
        <x:v>614</x:v>
      </x:c>
      <x:c r="F83" s="38" t="s">
        <x:v>281</x:v>
      </x:c>
      <x:c r="G83" s="38" t="s">
        <x:v>134</x:v>
      </x:c>
      <x:c r="H83" s="38" t="s">
        <x:v>135</x:v>
      </x:c>
      <x:c r="I83" s="38" t="s">
        <x:v>451</x:v>
      </x:c>
      <x:c r="J83" s="38" t="s">
        <x:v>118</x:v>
      </x:c>
      <x:c r="K83" s="38" t="s">
        <x:v>137</x:v>
      </x:c>
      <x:c r="L83" s="38" t="s">
        <x:v>138</x:v>
      </x:c>
      <x:c r="M83" s="38" t="s">
        <x:v>452</x:v>
      </x:c>
    </x:row>
    <x:row r="84" ht="17.649999618530273" customHeight="1">
      <x:c r="A84" s="38">
        <x:v>83</x:v>
      </x:c>
      <x:c r="B84" s="38" t="s">
        <x:v>453</x:v>
      </x:c>
      <x:c r="C84" s="38" t="s">
        <x:v>494</x:v>
      </x:c>
      <x:c r="D84" s="38" t="s">
        <x:v>260</x:v>
      </x:c>
      <x:c r="E84" s="38" t="s">
        <x:v>654</x:v>
      </x:c>
      <x:c r="F84" s="38" t="s">
        <x:v>298</x:v>
      </x:c>
      <x:c r="G84" s="38" t="s">
        <x:v>261</x:v>
      </x:c>
      <x:c r="H84" s="38" t="s">
        <x:v>262</x:v>
      </x:c>
      <x:c r="I84" s="38" t="s">
        <x:v>454</x:v>
      </x:c>
      <x:c r="J84" s="38" t="s">
        <x:v>118</x:v>
      </x:c>
      <x:c r="K84" s="38" t="s">
        <x:v>264</x:v>
      </x:c>
      <x:c r="L84" s="38" t="s">
        <x:v>265</x:v>
      </x:c>
      <x:c r="M84" s="38" t="s">
        <x:v>455</x:v>
      </x:c>
    </x:row>
    <x:row r="85" ht="17.649999618530273" customHeight="1">
      <x:c r="A85" s="38">
        <x:v>84</x:v>
      </x:c>
      <x:c r="B85" s="38" t="s">
        <x:v>456</x:v>
      </x:c>
      <x:c r="C85" s="38" t="s">
        <x:v>497</x:v>
      </x:c>
      <x:c r="D85" s="38" t="s">
        <x:v>318</x:v>
      </x:c>
      <x:c r="E85" s="38" t="s">
        <x:v>616</x:v>
      </x:c>
      <x:c r="F85" s="38" t="s">
        <x:v>337</x:v>
      </x:c>
      <x:c r="G85" s="38" t="s">
        <x:v>320</x:v>
      </x:c>
      <x:c r="H85" s="38" t="s">
        <x:v>321</x:v>
      </x:c>
      <x:c r="I85" s="38" t="s">
        <x:v>457</x:v>
      </x:c>
      <x:c r="J85" s="38" t="s">
        <x:v>118</x:v>
      </x:c>
      <x:c r="K85" s="38" t="s">
        <x:v>323</x:v>
      </x:c>
      <x:c r="L85" s="38" t="s">
        <x:v>324</x:v>
      </x:c>
      <x:c r="M85" s="38" t="s">
        <x:v>458</x:v>
      </x:c>
    </x:row>
    <x:row r="86" ht="17.649999618530273" customHeight="1">
      <x:c r="A86" s="38">
        <x:v>85</x:v>
      </x:c>
      <x:c r="B86" s="38" t="s">
        <x:v>459</x:v>
      </x:c>
      <x:c r="C86" s="38" t="s">
        <x:v>488</x:v>
      </x:c>
      <x:c r="D86" s="38" t="s">
        <x:v>113</x:v>
      </x:c>
      <x:c r="E86" s="38" t="s">
        <x:v>607</x:v>
      </x:c>
      <x:c r="F86" s="38" t="s">
        <x:v>285</x:v>
      </x:c>
      <x:c r="G86" s="38" t="s">
        <x:v>115</x:v>
      </x:c>
      <x:c r="H86" s="38" t="s">
        <x:v>116</x:v>
      </x:c>
      <x:c r="I86" s="38" t="s">
        <x:v>460</x:v>
      </x:c>
      <x:c r="J86" s="38" t="s">
        <x:v>118</x:v>
      </x:c>
      <x:c r="K86" s="38" t="s">
        <x:v>119</x:v>
      </x:c>
      <x:c r="L86" s="38" t="s">
        <x:v>120</x:v>
      </x:c>
      <x:c r="M86" s="38" t="s">
        <x:v>461</x:v>
      </x:c>
    </x:row>
    <x:row r="87" ht="17.649999618530273" customHeight="1">
      <x:c r="A87" s="38">
        <x:v>86</x:v>
      </x:c>
      <x:c r="B87" s="38" t="s">
        <x:v>462</x:v>
      </x:c>
      <x:c r="C87" s="38" t="s">
        <x:v>470</x:v>
      </x:c>
      <x:c r="D87" s="38" t="s">
        <x:v>168</x:v>
      </x:c>
      <x:c r="E87" s="38" t="s">
        <x:v>655</x:v>
      </x:c>
      <x:c r="F87" s="38" t="s">
        <x:v>281</x:v>
      </x:c>
      <x:c r="G87" s="38" t="s">
        <x:v>170</x:v>
      </x:c>
      <x:c r="H87" s="38" t="s">
        <x:v>171</x:v>
      </x:c>
      <x:c r="I87" s="38" t="s">
        <x:v>463</x:v>
      </x:c>
      <x:c r="J87" s="38" t="s">
        <x:v>118</x:v>
      </x:c>
      <x:c r="K87" s="38" t="s">
        <x:v>173</x:v>
      </x:c>
      <x:c r="L87" s="38" t="s">
        <x:v>174</x:v>
      </x:c>
      <x:c r="M87" s="38" t="s">
        <x:v>464</x:v>
      </x:c>
    </x:row>
    <x:row r="88" ht="17.649999618530273" customHeight="1">
      <x:c r="A88" s="38">
        <x:v>87</x:v>
      </x:c>
      <x:c r="B88" s="38" t="s">
        <x:v>465</x:v>
      </x:c>
      <x:c r="C88" s="38" t="s">
        <x:v>488</x:v>
      </x:c>
      <x:c r="D88" s="38" t="s">
        <x:v>113</x:v>
      </x:c>
      <x:c r="E88" s="38" t="s">
        <x:v>584</x:v>
      </x:c>
      <x:c r="F88" s="38" t="s">
        <x:v>466</x:v>
      </x:c>
      <x:c r="G88" s="38" t="s">
        <x:v>115</x:v>
      </x:c>
      <x:c r="H88" s="38" t="s">
        <x:v>116</x:v>
      </x:c>
      <x:c r="I88" s="38" t="s">
        <x:v>467</x:v>
      </x:c>
      <x:c r="J88" s="38" t="s">
        <x:v>118</x:v>
      </x:c>
      <x:c r="K88" s="38" t="s">
        <x:v>119</x:v>
      </x:c>
      <x:c r="L88" s="38" t="s">
        <x:v>120</x:v>
      </x:c>
      <x:c r="M88" s="38" t="s">
        <x:v>468</x:v>
      </x:c>
    </x:row>
    <x:row r="89" ht="17.649999618530273" customHeight="1">
      <x:c r="A89" s="38">
        <x:v>88</x:v>
      </x:c>
      <x:c r="B89" s="38" t="s">
        <x:v>469</x:v>
      </x:c>
      <x:c r="C89" s="38" t="s">
        <x:v>470</x:v>
      </x:c>
      <x:c r="D89" s="38" t="s">
        <x:v>168</x:v>
      </x:c>
      <x:c r="E89" s="38" t="s">
        <x:v>471</x:v>
      </x:c>
      <x:c r="F89" s="38" t="s">
        <x:v>281</x:v>
      </x:c>
      <x:c r="G89" s="38" t="s">
        <x:v>170</x:v>
      </x:c>
      <x:c r="H89" s="38" t="s">
        <x:v>171</x:v>
      </x:c>
      <x:c r="I89" s="38" t="s">
        <x:v>472</x:v>
      </x:c>
      <x:c r="J89" s="38" t="s">
        <x:v>118</x:v>
      </x:c>
      <x:c r="K89" s="38" t="s">
        <x:v>173</x:v>
      </x:c>
      <x:c r="L89" s="38" t="s">
        <x:v>174</x:v>
      </x:c>
      <x:c r="M89" s="38" t="s">
        <x:v>473</x:v>
      </x:c>
    </x:row>
    <x:row r="90" ht="17.649999618530273" customHeight="1">
      <x:c r="A90" s="38">
        <x:v>89</x:v>
      </x:c>
      <x:c r="B90" s="38" t="s">
        <x:v>474</x:v>
      </x:c>
      <x:c r="C90" s="38" t="s">
        <x:v>475</x:v>
      </x:c>
      <x:c r="D90" s="38" t="s">
        <x:v>373</x:v>
      </x:c>
      <x:c r="E90" s="38" t="s">
        <x:v>476</x:v>
      </x:c>
      <x:c r="F90" s="38" t="s">
        <x:v>319</x:v>
      </x:c>
      <x:c r="G90" s="38" t="s">
        <x:v>375</x:v>
      </x:c>
      <x:c r="H90" s="38" t="s">
        <x:v>376</x:v>
      </x:c>
      <x:c r="I90" s="38" t="s">
        <x:v>477</x:v>
      </x:c>
      <x:c r="J90" s="38" t="s">
        <x:v>118</x:v>
      </x:c>
      <x:c r="K90" s="38" t="s">
        <x:v>378</x:v>
      </x:c>
      <x:c r="L90" s="38" t="s">
        <x:v>379</x:v>
      </x:c>
      <x:c r="M90" s="38" t="s">
        <x:v>478</x:v>
      </x:c>
    </x:row>
    <x:row r="91" ht="26.399999618530273" customHeight="1">
      <x:c r="A91" s="38">
        <x:v>90</x:v>
      </x:c>
      <x:c r="B91" s="38" t="s">
        <x:v>479</x:v>
      </x:c>
      <x:c r="C91" s="38" t="s">
        <x:v>480</x:v>
      </x:c>
      <x:c r="D91" s="38" t="s">
        <x:v>226</x:v>
      </x:c>
      <x:c r="E91" s="38" t="s">
        <x:v>481</x:v>
      </x:c>
      <x:c r="F91" s="38" t="s">
        <x:v>482</x:v>
      </x:c>
      <x:c r="G91" s="38" t="s">
        <x:v>228</x:v>
      </x:c>
      <x:c r="H91" s="38" t="s">
        <x:v>229</x:v>
      </x:c>
      <x:c r="I91" s="38" t="s">
        <x:v>483</x:v>
      </x:c>
      <x:c r="J91" s="38" t="s">
        <x:v>118</x:v>
      </x:c>
      <x:c r="K91" s="38" t="s">
        <x:v>231</x:v>
      </x:c>
      <x:c r="L91" s="38" t="s">
        <x:v>232</x:v>
      </x:c>
      <x:c r="M91" s="38" t="s">
        <x:v>484</x:v>
      </x:c>
    </x:row>
  </x:sheetData>
  <x:pageMargins left="0.7" right="0.7" top="0.75" bottom="0.75" header="0.3" footer="0.3"/>
</x:worksheet>
</file>

<file path=xl/worksheets/sheet6.xml><?xml version="1.0" encoding="utf-8"?>
<x:worksheet xmlns:x="http://schemas.openxmlformats.org/spreadsheetml/2006/main">
  <x:sheetFormatPr defaultRowHeight="18"/>
  <x:cols>
    <x:col min="1" max="1" width="9" customWidth="1"/>
    <x:col min="2" max="2" width="10" customWidth="1"/>
    <x:col min="3" max="3" width="26" customWidth="1"/>
    <x:col min="4" max="4" width="52" customWidth="1"/>
    <x:col min="5" max="5" width="4" customWidth="1"/>
    <x:col min="6" max="6" width="18" customWidth="1"/>
    <x:col min="7" max="7" width="24" customWidth="1"/>
  </x:cols>
  <x:sheetData>
    <x:row r="1" ht="10" customHeight="1">
      <x:c r="A1" s="45" t="s">
        <x:v>67</x:v>
      </x:c>
      <x:c r="B1" s="45" t="s">
        <x:v>656</x:v>
      </x:c>
      <x:c r="C1" s="45" t="s">
        <x:v>103</x:v>
      </x:c>
      <x:c r="D1" s="45" t="s">
        <x:v>66</x:v>
      </x:c>
      <x:c r="E1" s="45"/>
      <x:c r="F1" s="45" t="s">
        <x:v>657</x:v>
      </x:c>
      <x:c r="G1" s="45" t="s">
        <x:v>658</x:v>
      </x:c>
    </x:row>
    <x:row r="2" ht="17.649999618530273" customHeight="1">
      <x:c r="A2" s="38" t="s">
        <x:v>488</x:v>
      </x:c>
      <x:c r="B2" s="38" t="n">
        <x:f>COUNTIF('01_テスト結果一覧'!$D$7:$D$96,A2)</x:f>
        <x:v>16</x:v>
      </x:c>
      <x:c r="C2" s="38" t="s">
        <x:v>113</x:v>
      </x:c>
      <x:c r="D2" s="38" t="s">
        <x:v>659</x:v>
      </x:c>
      <x:c r="E2" s="38"/>
      <x:c r="F2" s="38" t="s">
        <x:v>660</x:v>
      </x:c>
      <x:c r="G2" s="38" t="n">
        <x:f>SUM(B2:B14)</x:f>
        <x:v>90</x:v>
      </x:c>
    </x:row>
    <x:row r="3" ht="10" customHeight="1">
      <x:c r="A3" s="38" t="s">
        <x:v>489</x:v>
      </x:c>
      <x:c r="B3" s="38" t="n">
        <x:f>COUNTIF('01_テスト結果一覧'!$D$7:$D$96,A3)</x:f>
        <x:v>8</x:v>
      </x:c>
      <x:c r="C3" s="38" t="s">
        <x:v>123</x:v>
      </x:c>
      <x:c r="D3" s="38" t="s">
        <x:v>661</x:v>
      </x:c>
      <x:c r="E3" s="38"/>
      <x:c r="F3" s="38" t="s">
        <x:v>662</x:v>
      </x:c>
      <x:c r="G3" s="38" t="n">
        <x:f>COUNTA(A2:A14)</x:f>
        <x:v>13</x:v>
      </x:c>
    </x:row>
    <x:row r="4" ht="17.649999618530273" customHeight="1">
      <x:c r="A4" s="38" t="s">
        <x:v>490</x:v>
      </x:c>
      <x:c r="B4" s="38" t="n">
        <x:f>COUNTIF('01_テスト結果一覧'!$D$7:$D$96,A4)</x:f>
        <x:v>14</x:v>
      </x:c>
      <x:c r="C4" s="38" t="s">
        <x:v>132</x:v>
      </x:c>
      <x:c r="D4" s="38" t="s">
        <x:v>663</x:v>
      </x:c>
      <x:c r="E4" s="38"/>
      <x:c r="F4" s="38" t="s">
        <x:v>664</x:v>
      </x:c>
      <x:c r="G4" s="38" t="n">
        <x:f>COUNTIF('07_画像基準再分類_変更一覧'!$L$2:$L$91,"変更")</x:f>
        <x:v>89</x:v>
      </x:c>
    </x:row>
    <x:row r="5" ht="10" customHeight="1">
      <x:c r="A5" s="38" t="s">
        <x:v>491</x:v>
      </x:c>
      <x:c r="B5" s="38" t="n">
        <x:f>COUNTIF('01_テスト結果一覧'!$D$7:$D$96,A5)</x:f>
        <x:v>7</x:v>
      </x:c>
      <x:c r="C5" s="38" t="s">
        <x:v>200</x:v>
      </x:c>
      <x:c r="D5" s="38" t="s">
        <x:v>665</x:v>
      </x:c>
      <x:c r="E5" s="38"/>
      <x:c r="F5" s="38" t="s">
        <x:v>666</x:v>
      </x:c>
      <x:c r="G5" s="38" t="n">
        <x:f>COUNTIF('07_画像基準再分類_変更一覧'!$L$2:$L$91,"維持")</x:f>
        <x:v>1</x:v>
      </x:c>
    </x:row>
    <x:row r="6" ht="10" customHeight="1">
      <x:c r="A6" s="38" t="s">
        <x:v>492</x:v>
      </x:c>
      <x:c r="B6" s="38" t="n">
        <x:f>COUNTIF('01_テスト結果一覧'!$D$7:$D$96,A6)</x:f>
        <x:v>4</x:v>
      </x:c>
      <x:c r="C6" s="38" t="s">
        <x:v>158</x:v>
      </x:c>
      <x:c r="D6" s="38" t="s">
        <x:v>667</x:v>
      </x:c>
      <x:c r="E6" s="38"/>
      <x:c r="F6" s="38" t="s">
        <x:v>668</x:v>
      </x:c>
      <x:c r="G6" s="38" t="s">
        <x:v>669</x:v>
      </x:c>
    </x:row>
    <x:row r="7" ht="10" customHeight="1">
      <x:c r="A7" s="38" t="s">
        <x:v>470</x:v>
      </x:c>
      <x:c r="B7" s="38" t="n">
        <x:f>COUNTIF('01_テスト結果一覧'!$D$7:$D$96,A7)</x:f>
        <x:v>9</x:v>
      </x:c>
      <x:c r="C7" s="38" t="s">
        <x:v>168</x:v>
      </x:c>
      <x:c r="D7" s="38" t="s">
        <x:v>670</x:v>
      </x:c>
      <x:c r="E7" s="38"/>
      <x:c r="F7" s="38"/>
      <x:c r="G7" s="38"/>
    </x:row>
    <x:row r="8" ht="10" customHeight="1">
      <x:c r="A8" s="38" t="s">
        <x:v>493</x:v>
      </x:c>
      <x:c r="B8" s="38" t="n">
        <x:f>COUNTIF('01_テスト結果一覧'!$D$7:$D$96,A8)</x:f>
        <x:v>9</x:v>
      </x:c>
      <x:c r="C8" s="38" t="s">
        <x:v>141</x:v>
      </x:c>
      <x:c r="D8" s="38" t="s">
        <x:v>671</x:v>
      </x:c>
      <x:c r="E8" s="38"/>
      <x:c r="F8" s="38"/>
      <x:c r="G8" s="38"/>
    </x:row>
    <x:row r="9" ht="10" customHeight="1">
      <x:c r="A9" s="38" t="s">
        <x:v>494</x:v>
      </x:c>
      <x:c r="B9" s="38" t="n">
        <x:f>COUNTIF('01_テスト結果一覧'!$D$7:$D$96,A9)</x:f>
        <x:v>3</x:v>
      </x:c>
      <x:c r="C9" s="38" t="s">
        <x:v>260</x:v>
      </x:c>
      <x:c r="D9" s="38" t="s">
        <x:v>672</x:v>
      </x:c>
      <x:c r="E9" s="38"/>
      <x:c r="F9" s="38"/>
      <x:c r="G9" s="38"/>
    </x:row>
    <x:row r="10" ht="10" customHeight="1">
      <x:c r="A10" s="38" t="s">
        <x:v>495</x:v>
      </x:c>
      <x:c r="B10" s="38" t="n">
        <x:f>COUNTIF('01_テスト結果一覧'!$D$7:$D$96,A10)</x:f>
        <x:v>3</x:v>
      </x:c>
      <x:c r="C10" s="38" t="s">
        <x:v>191</x:v>
      </x:c>
      <x:c r="D10" s="38" t="s">
        <x:v>673</x:v>
      </x:c>
      <x:c r="E10" s="38"/>
      <x:c r="F10" s="38"/>
      <x:c r="G10" s="38"/>
    </x:row>
    <x:row r="11" ht="10" customHeight="1">
      <x:c r="A11" s="38" t="s">
        <x:v>496</x:v>
      </x:c>
      <x:c r="B11" s="38" t="n">
        <x:f>COUNTIF('01_テスト結果一覧'!$D$7:$D$96,A11)</x:f>
        <x:v>1</x:v>
      </x:c>
      <x:c r="C11" s="38" t="s">
        <x:v>272</x:v>
      </x:c>
      <x:c r="D11" s="38" t="s">
        <x:v>271</x:v>
      </x:c>
      <x:c r="E11" s="38"/>
      <x:c r="F11" s="38"/>
      <x:c r="G11" s="38"/>
    </x:row>
    <x:row r="12" ht="10" customHeight="1">
      <x:c r="A12" s="37" t="s">
        <x:v>497</x:v>
      </x:c>
      <x:c r="B12" s="37" t="n">
        <x:f>COUNTIF('01_テスト結果一覧'!$D$7:$D$96,A12)</x:f>
        <x:v>6</x:v>
      </x:c>
      <x:c r="C12" s="37" t="s">
        <x:v>318</x:v>
      </x:c>
      <x:c r="D12" s="37" t="s">
        <x:v>674</x:v>
      </x:c>
      <x:c r="E12" s="37"/>
      <x:c r="F12" s="37"/>
      <x:c r="G12" s="37"/>
    </x:row>
    <x:row r="13" ht="10" customHeight="1">
      <x:c r="A13" s="37" t="s">
        <x:v>475</x:v>
      </x:c>
      <x:c r="B13" s="37" t="n">
        <x:f>COUNTIF('01_テスト結果一覧'!$D$7:$D$96,A13)</x:f>
        <x:v>6</x:v>
      </x:c>
      <x:c r="C13" s="37" t="s">
        <x:v>373</x:v>
      </x:c>
      <x:c r="D13" s="37" t="s">
        <x:v>675</x:v>
      </x:c>
      <x:c r="E13" s="37"/>
      <x:c r="F13" s="37"/>
      <x:c r="G13" s="37"/>
    </x:row>
    <x:row r="14" ht="10" customHeight="1">
      <x:c r="A14" s="37" t="s">
        <x:v>480</x:v>
      </x:c>
      <x:c r="B14" s="37" t="n">
        <x:f>COUNTIF('01_テスト結果一覧'!$D$7:$D$96,A14)</x:f>
        <x:v>4</x:v>
      </x:c>
      <x:c r="C14" s="37" t="s">
        <x:v>226</x:v>
      </x:c>
      <x:c r="D14" s="37" t="s">
        <x:v>676</x:v>
      </x:c>
      <x:c r="E14" s="37"/>
      <x:c r="F14" s="37"/>
      <x:c r="G14" s="37"/>
    </x:row>
  </x:sheetData>
  <x:pageMargins left="0.7" right="0.7" top="0.75" bottom="0.75" header="0.3" footer="0.3"/>
</x:worksheet>
</file>

<file path=xl/worksheets/sheet7.xml><?xml version="1.0" encoding="utf-8"?>
<x:worksheet xmlns:x="http://schemas.openxmlformats.org/spreadsheetml/2006/main">
  <x:sheetFormatPr defaultRowHeight="18"/>
  <x:cols>
    <x:col min="1" max="1" width="22" customWidth="1"/>
    <x:col min="2" max="2" width="85" customWidth="1"/>
  </x:cols>
  <x:sheetData>
    <x:row r="1" ht="25.649999618530273" customHeight="1">
      <x:c r="A1" s="39" t="s">
        <x:v>677</x:v>
      </x:c>
      <x:c r="B1" s="39"/>
    </x:row>
    <x:row r="2" ht="17.649999618530273" customHeight="1">
      <x:c r="A2" s="42" t="s">
        <x:v>678</x:v>
      </x:c>
      <x:c r="B2" s="38" t="s">
        <x:v>679</x:v>
      </x:c>
    </x:row>
    <x:row r="3" ht="26.399999618530273" customHeight="1">
      <x:c r="A3" s="42" t="s">
        <x:v>680</x:v>
      </x:c>
      <x:c r="B3" s="38" t="s">
        <x:v>681</x:v>
      </x:c>
    </x:row>
    <x:row r="4" ht="10" customHeight="1">
      <x:c r="A4" s="42" t="s">
        <x:v>682</x:v>
      </x:c>
      <x:c r="B4" s="38" t="s">
        <x:v>683</x:v>
      </x:c>
    </x:row>
    <x:row r="5" ht="26.399999618530273" customHeight="1">
      <x:c r="A5" s="42" t="s">
        <x:v>684</x:v>
      </x:c>
      <x:c r="B5" s="38" t="s">
        <x:v>685</x:v>
      </x:c>
    </x:row>
    <x:row r="6" ht="17.649999618530273" customHeight="1">
      <x:c r="A6" s="42" t="s">
        <x:v>686</x:v>
      </x:c>
      <x:c r="B6" s="38" t="s">
        <x:v>687</x:v>
      </x:c>
    </x:row>
    <x:row r="7" ht="26.399999618530273" customHeight="1">
      <x:c r="A7" s="42" t="s">
        <x:v>688</x:v>
      </x:c>
      <x:c r="B7" s="38" t="s">
        <x:v>689</x:v>
      </x:c>
    </x:row>
    <x:row r="8" ht="17.649999618530273" customHeight="1">
      <x:c r="A8" s="42" t="s">
        <x:v>690</x:v>
      </x:c>
      <x:c r="B8" s="38" t="s">
        <x:v>691</x:v>
      </x:c>
    </x:row>
    <x:row r="9" ht="17.649999618530273" customHeight="1">
      <x:c r="A9" s="42" t="s">
        <x:v>692</x:v>
      </x:c>
      <x:c r="B9" s="38" t="s">
        <x:v>693</x:v>
      </x:c>
    </x:row>
  </x:sheetData>
  <x:pageMargins left="0.7" right="0.7" top="0.75" bottom="0.75" header="0.3" footer="0.3"/>
</x:worksheet>
</file>

<file path=xl/worksheets/sheet8.xml><?xml version="1.0" encoding="utf-8"?>
<x:worksheet xmlns:x="http://schemas.openxmlformats.org/spreadsheetml/2006/main">
  <x:sheetFormatPr defaultRowHeight="18"/>
  <x:cols>
    <x:col min="1" max="1" width="115" customWidth="1"/>
  </x:cols>
  <x:sheetData>
    <x:row r="1" ht="14.649999618530273" customHeight="1">
      <x:c r="A1" s="39" t="s">
        <x:v>694</x:v>
      </x:c>
    </x:row>
    <x:row r="2" ht="18.649999618530273" customHeight="1">
      <x:c r="A2" s="43" t="s">
        <x:v>695</x:v>
      </x:c>
    </x:row>
    <x:row r="3" ht="14.649999618530273" customHeight="1">
      <x:c r="A3" s="38" t="s">
        <x:v>696</x:v>
      </x:c>
    </x:row>
    <x:row r="4" ht="14.649999618530273" customHeight="1">
      <x:c r="A4" s="38"/>
    </x:row>
    <x:row r="5" ht="18.649999618530273" customHeight="1">
      <x:c r="A5" s="43" t="s">
        <x:v>697</x:v>
      </x:c>
    </x:row>
    <x:row r="6" ht="14.649999618530273" customHeight="1">
      <x:c r="A6" s="38" t="s">
        <x:v>698</x:v>
      </x:c>
    </x:row>
    <x:row r="7" ht="14.649999618530273" customHeight="1">
      <x:c r="A7" s="38" t="s">
        <x:v>699</x:v>
      </x:c>
    </x:row>
    <x:row r="8" ht="14.649999618530273" customHeight="1">
      <x:c r="A8" s="38" t="s">
        <x:v>700</x:v>
      </x:c>
    </x:row>
    <x:row r="9" ht="14.649999618530273" customHeight="1">
      <x:c r="A9" s="38"/>
    </x:row>
    <x:row r="10" ht="18.649999618530273" customHeight="1">
      <x:c r="A10" s="43" t="s">
        <x:v>701</x:v>
      </x:c>
    </x:row>
    <x:row r="11" ht="14.649999618530273" customHeight="1">
      <x:c r="A11" s="38" t="s">
        <x:v>702</x:v>
      </x:c>
    </x:row>
    <x:row r="12" ht="14.649999618530273" customHeight="1">
      <x:c r="A12" s="38" t="s">
        <x:v>703</x:v>
      </x:c>
    </x:row>
    <x:row r="13" ht="14.649999618530273" customHeight="1">
      <x:c r="A13" s="38" t="s">
        <x:v>704</x:v>
      </x:c>
    </x:row>
    <x:row r="14" ht="14.649999618530273" customHeight="1">
      <x:c r="A14" s="38" t="s">
        <x:v>705</x:v>
      </x:c>
    </x:row>
    <x:row r="15" ht="14.649999618530273" customHeight="1">
      <x:c r="A15" s="38"/>
    </x:row>
    <x:row r="16" ht="18.649999618530273" customHeight="1">
      <x:c r="A16" s="43" t="s">
        <x:v>706</x:v>
      </x:c>
    </x:row>
    <x:row r="17" ht="14.649999618530273" customHeight="1">
      <x:c r="A17" s="38" t="s">
        <x:v>707</x:v>
      </x:c>
    </x:row>
    <x:row r="18" ht="14.649999618530273" customHeight="1">
      <x:c r="A18" s="38" t="s">
        <x:v>708</x:v>
      </x:c>
    </x:row>
    <x:row r="19" ht="14.649999618530273" customHeight="1">
      <x:c r="A19" s="38" t="s">
        <x:v>709</x:v>
      </x:c>
    </x:row>
    <x:row r="20" ht="14.649999618530273" customHeight="1">
      <x:c r="A20" s="38" t="s">
        <x:v>710</x:v>
      </x:c>
    </x:row>
    <x:row r="21" ht="14.649999618530273" customHeight="1">
      <x:c r="A21" s="38" t="s">
        <x:v>711</x:v>
      </x:c>
    </x:row>
    <x:row r="22" ht="14.649999618530273" customHeight="1">
      <x:c r="A22" s="38"/>
    </x:row>
    <x:row r="23" ht="18.649999618530273" customHeight="1">
      <x:c r="A23" s="43" t="s">
        <x:v>712</x:v>
      </x:c>
    </x:row>
    <x:row r="24" ht="14.649999618530273" customHeight="1">
      <x:c r="A24" s="38" t="s">
        <x:v>713</x:v>
      </x:c>
    </x:row>
    <x:row r="25" ht="14.649999618530273" customHeight="1">
      <x:c r="A25" s="38" t="s">
        <x:v>714</x:v>
      </x:c>
    </x:row>
    <x:row r="26" ht="14.649999618530273" customHeight="1">
      <x:c r="A26" s="38" t="s">
        <x:v>715</x:v>
      </x:c>
    </x:row>
    <x:row r="27" ht="14.649999618530273" customHeight="1">
      <x:c r="A27" s="38" t="s">
        <x:v>716</x:v>
      </x:c>
    </x:row>
    <x:row r="28" ht="14.649999618530273" customHeight="1">
      <x:c r="A28" s="38" t="s">
        <x:v>717</x:v>
      </x:c>
    </x:row>
    <x:row r="29" ht="14.649999618530273" customHeight="1">
      <x:c r="A29" s="38" t="s">
        <x:v>718</x:v>
      </x:c>
    </x:row>
    <x:row r="30" ht="14.649999618530273" customHeight="1">
      <x:c r="A30" s="38" t="s">
        <x:v>719</x:v>
      </x:c>
    </x:row>
    <x:row r="31" ht="14.649999618530273" customHeight="1">
      <x:c r="A31" s="38" t="s">
        <x:v>720</x:v>
      </x:c>
    </x:row>
    <x:row r="32" ht="14.649999618530273" customHeight="1">
      <x:c r="A32" s="38" t="s">
        <x:v>721</x:v>
      </x:c>
    </x:row>
    <x:row r="33" ht="14.649999618530273" customHeight="1">
      <x:c r="A33" s="38" t="s">
        <x:v>722</x:v>
      </x:c>
    </x:row>
    <x:row r="34" ht="14.649999618530273" customHeight="1">
      <x:c r="A34" s="38" t="s">
        <x:v>723</x:v>
      </x:c>
    </x:row>
    <x:row r="35" ht="14.649999618530273" customHeight="1">
      <x:c r="A35" s="38" t="s">
        <x:v>724</x:v>
      </x:c>
    </x:row>
    <x:row r="36" ht="14.649999618530273" customHeight="1">
      <x:c r="A36" s="38" t="s">
        <x:v>725</x:v>
      </x:c>
    </x:row>
    <x:row r="37" ht="14.649999618530273" customHeight="1">
      <x:c r="A37" s="38" t="s">
        <x:v>726</x:v>
      </x:c>
    </x:row>
    <x:row r="38" ht="14.649999618530273" customHeight="1">
      <x:c r="A38" s="38" t="s">
        <x:v>727</x:v>
      </x:c>
    </x:row>
    <x:row r="39" ht="14.649999618530273" customHeight="1">
      <x:c r="A39" s="38" t="s">
        <x:v>728</x:v>
      </x:c>
    </x:row>
    <x:row r="40" ht="14.649999618530273" customHeight="1">
      <x:c r="A40" s="38" t="s">
        <x:v>729</x:v>
      </x:c>
    </x:row>
    <x:row r="41" ht="14.649999618530273" customHeight="1">
      <x:c r="A41" s="38" t="s">
        <x:v>730</x:v>
      </x:c>
    </x:row>
    <x:row r="42" ht="14.649999618530273" customHeight="1">
      <x:c r="A42" s="38" t="s">
        <x:v>731</x:v>
      </x:c>
    </x:row>
    <x:row r="43" ht="14.649999618530273" customHeight="1">
      <x:c r="A43" s="38" t="s">
        <x:v>732</x:v>
      </x:c>
    </x:row>
    <x:row r="44" ht="14.649999618530273" customHeight="1">
      <x:c r="A44" s="38" t="s">
        <x:v>733</x:v>
      </x:c>
    </x:row>
    <x:row r="45" ht="14.649999618530273" customHeight="1">
      <x:c r="A45" s="38"/>
    </x:row>
    <x:row r="46" ht="18.649999618530273" customHeight="1">
      <x:c r="A46" s="43" t="s">
        <x:v>734</x:v>
      </x:c>
    </x:row>
    <x:row r="47" ht="14.649999618530273" customHeight="1">
      <x:c r="A47" s="38" t="s">
        <x:v>735</x:v>
      </x:c>
    </x:row>
    <x:row r="48" ht="14.649999618530273" customHeight="1">
      <x:c r="A48" s="38" t="s">
        <x:v>736</x:v>
      </x:c>
    </x:row>
    <x:row r="49" ht="14.649999618530273" customHeight="1">
      <x:c r="A49" s="38" t="s">
        <x:v>737</x:v>
      </x:c>
    </x:row>
    <x:row r="50" ht="14.649999618530273" customHeight="1">
      <x:c r="A50" s="38" t="s">
        <x:v>738</x:v>
      </x:c>
    </x:row>
    <x:row r="51" ht="14.649999618530273" customHeight="1">
      <x:c r="A51" s="38" t="s">
        <x:v>739</x:v>
      </x:c>
    </x:row>
    <x:row r="52" ht="14.649999618530273" customHeight="1">
      <x:c r="A52" s="38" t="s">
        <x:v>740</x:v>
      </x:c>
    </x:row>
    <x:row r="53" ht="14.649999618530273" customHeight="1">
      <x:c r="A53" s="38"/>
    </x:row>
    <x:row r="54" ht="18.649999618530273" customHeight="1">
      <x:c r="A54" s="43" t="s">
        <x:v>741</x:v>
      </x:c>
    </x:row>
    <x:row r="55" ht="14.649999618530273" customHeight="1">
      <x:c r="A55" s="38" t="s">
        <x:v>742</x:v>
      </x:c>
    </x:row>
    <x:row r="56" ht="14.649999618530273" customHeight="1">
      <x:c r="A56" s="38" t="s">
        <x:v>743</x:v>
      </x:c>
    </x:row>
    <x:row r="57" ht="14.649999618530273" customHeight="1">
      <x:c r="A57" s="38"/>
    </x:row>
    <x:row r="58" ht="18.649999618530273" customHeight="1">
      <x:c r="A58" s="43" t="s">
        <x:v>744</x:v>
      </x:c>
    </x:row>
    <x:row r="59" ht="14.649999618530273" customHeight="1">
      <x:c r="A59" s="38" t="s">
        <x:v>745</x:v>
      </x:c>
    </x:row>
    <x:row r="60" ht="14.649999618530273" customHeight="1">
      <x:c r="A60" s="38" t="s">
        <x:v>746</x:v>
      </x:c>
    </x:row>
    <x:row r="61" ht="14.649999618530273" customHeight="1">
      <x:c r="A61" s="38" t="s">
        <x:v>747</x:v>
      </x:c>
    </x:row>
    <x:row r="62" ht="14.649999618530273" customHeight="1">
      <x:c r="A62" s="38" t="s">
        <x:v>748</x:v>
      </x:c>
    </x:row>
    <x:row r="63" ht="14.649999618530273" customHeight="1">
      <x:c r="A63" s="38"/>
    </x:row>
    <x:row r="64" ht="18.649999618530273" customHeight="1">
      <x:c r="A64" s="43" t="s">
        <x:v>749</x:v>
      </x:c>
    </x:row>
    <x:row r="65" ht="14.649999618530273" customHeight="1">
      <x:c r="A65" s="38" t="s">
        <x:v>750</x:v>
      </x:c>
    </x:row>
    <x:row r="66" ht="14.649999618530273" customHeight="1">
      <x:c r="A66" s="38" t="s">
        <x:v>751</x:v>
      </x:c>
    </x:row>
    <x:row r="67" ht="14.649999618530273" customHeight="1">
      <x:c r="A67" s="38" t="s">
        <x:v>752</x:v>
      </x:c>
    </x:row>
    <x:row r="68" ht="14.649999618530273" customHeight="1">
      <x:c r="A68" s="38" t="s">
        <x:v>753</x:v>
      </x:c>
    </x:row>
    <x:row r="69" ht="14.649999618530273" customHeight="1">
      <x:c r="A69" s="38"/>
    </x:row>
    <x:row r="70" ht="18.649999618530273" customHeight="1">
      <x:c r="A70" s="43" t="s">
        <x:v>754</x:v>
      </x:c>
    </x:row>
    <x:row r="71" ht="14.649999618530273" customHeight="1">
      <x:c r="A71" s="38" t="s">
        <x:v>755</x:v>
      </x:c>
    </x:row>
    <x:row r="72" ht="14.649999618530273" customHeight="1">
      <x:c r="A72" s="38" t="s">
        <x:v>756</x:v>
      </x:c>
    </x:row>
    <x:row r="73" ht="14.649999618530273" customHeight="1">
      <x:c r="A73" s="38" t="s">
        <x:v>757</x:v>
      </x:c>
    </x:row>
    <x:row r="74" ht="14.649999618530273" customHeight="1">
      <x:c r="A74" s="38" t="s">
        <x:v>758</x:v>
      </x:c>
    </x:row>
    <x:row r="75" ht="14.649999618530273" customHeight="1">
      <x:c r="A75" s="38" t="s">
        <x:v>759</x:v>
      </x:c>
    </x:row>
    <x:row r="76" ht="14.649999618530273" customHeight="1">
      <x:c r="A76" s="38" t="s">
        <x:v>760</x:v>
      </x:c>
    </x:row>
    <x:row r="77" ht="14.649999618530273" customHeight="1">
      <x:c r="A77" s="38" t="s">
        <x:v>761</x:v>
      </x:c>
    </x:row>
    <x:row r="78" ht="14.649999618530273" customHeight="1">
      <x:c r="A78" s="38" t="s">
        <x:v>762</x:v>
      </x:c>
    </x:row>
    <x:row r="79" ht="14.649999618530273" customHeight="1">
      <x:c r="A79" s="38" t="s">
        <x:v>763</x:v>
      </x:c>
    </x:row>
    <x:row r="80" ht="14.649999618530273" customHeight="1">
      <x:c r="A80" s="38" t="s">
        <x:v>764</x:v>
      </x:c>
    </x:row>
    <x:row r="81" ht="14.649999618530273" customHeight="1">
      <x:c r="A81" s="38" t="s">
        <x:v>765</x:v>
      </x:c>
    </x:row>
    <x:row r="82" ht="14.649999618530273" customHeight="1">
      <x:c r="A82" s="38" t="s">
        <x:v>766</x:v>
      </x:c>
    </x:row>
    <x:row r="83" ht="14.649999618530273" customHeight="1">
      <x:c r="A83" s="38" t="s">
        <x:v>767</x:v>
      </x:c>
    </x:row>
    <x:row r="84" ht="14.649999618530273" customHeight="1">
      <x:c r="A84" s="38" t="s">
        <x:v>768</x:v>
      </x:c>
    </x:row>
    <x:row r="85" ht="14.649999618530273" customHeight="1">
      <x:c r="A85" s="38" t="s">
        <x:v>769</x:v>
      </x:c>
    </x:row>
    <x:row r="86" ht="14.649999618530273" customHeight="1">
      <x:c r="A86" s="38"/>
    </x:row>
    <x:row r="87" ht="18.649999618530273" customHeight="1">
      <x:c r="A87" s="43" t="s">
        <x:v>770</x:v>
      </x:c>
    </x:row>
    <x:row r="88" ht="14.649999618530273" customHeight="1">
      <x:c r="A88" s="38" t="s">
        <x:v>771</x:v>
      </x:c>
    </x:row>
    <x:row r="89" ht="14.649999618530273" customHeight="1">
      <x:c r="A89" s="38" t="s">
        <x:v>772</x:v>
      </x:c>
    </x:row>
    <x:row r="90" ht="14.649999618530273" customHeight="1">
      <x:c r="A90" s="38"/>
    </x:row>
    <x:row r="91" ht="18.649999618530273" customHeight="1">
      <x:c r="A91" s="43" t="s">
        <x:v>773</x:v>
      </x:c>
    </x:row>
    <x:row r="92" ht="14.649999618530273" customHeight="1">
      <x:c r="A92" s="38" t="s">
        <x:v>774</x:v>
      </x:c>
    </x:row>
    <x:row r="93" ht="14.649999618530273" customHeight="1">
      <x:c r="A93" s="38"/>
    </x:row>
    <x:row r="94" ht="18.649999618530273" customHeight="1">
      <x:c r="A94" s="43" t="s">
        <x:v>775</x:v>
      </x:c>
    </x:row>
    <x:row r="95" ht="14.649999618530273" customHeight="1">
      <x:c r="A95" s="38" t="s">
        <x:v>776</x:v>
      </x:c>
    </x:row>
    <x:row r="96" ht="14.649999618530273" customHeight="1">
      <x:c r="A96" s="38" t="s">
        <x:v>777</x:v>
      </x:c>
    </x:row>
    <x:row r="97" ht="14.649999618530273" customHeight="1">
      <x:c r="A97" s="38" t="s">
        <x:v>778</x:v>
      </x:c>
    </x:row>
    <x:row r="98" ht="14.649999618530273" customHeight="1">
      <x:c r="A98" s="38"/>
    </x:row>
    <x:row r="99" ht="18.649999618530273" customHeight="1">
      <x:c r="A99" s="43" t="s">
        <x:v>779</x:v>
      </x:c>
    </x:row>
    <x:row r="100" ht="14.649999618530273" customHeight="1">
      <x:c r="A100" s="38" t="s">
        <x:v>780</x:v>
      </x:c>
    </x:row>
    <x:row r="101" ht="14.649999618530273" customHeight="1">
      <x:c r="A101" s="38" t="s">
        <x:v>781</x:v>
      </x:c>
    </x:row>
    <x:row r="102" ht="14.649999618530273" customHeight="1">
      <x:c r="A102" s="38" t="s">
        <x:v>782</x:v>
      </x:c>
    </x:row>
    <x:row r="103" ht="14.649999618530273" customHeight="1">
      <x:c r="A103" s="38" t="s">
        <x:v>783</x:v>
      </x:c>
    </x:row>
    <x:row r="104" ht="14.649999618530273" customHeight="1">
      <x:c r="A104" s="38" t="s">
        <x:v>784</x:v>
      </x:c>
    </x:row>
    <x:row r="105" ht="14.649999618530273" customHeight="1">
      <x:c r="A105" s="38" t="s">
        <x:v>785</x:v>
      </x:c>
    </x:row>
    <x:row r="106" ht="14.649999618530273" customHeight="1">
      <x:c r="A106" s="38" t="s">
        <x:v>786</x:v>
      </x:c>
    </x:row>
    <x:row r="107" ht="14.649999618530273" customHeight="1">
      <x:c r="A107" s="38" t="s">
        <x:v>787</x:v>
      </x:c>
    </x:row>
    <x:row r="108" ht="14.649999618530273" customHeight="1">
      <x:c r="A108" s="38"/>
    </x:row>
    <x:row r="109" ht="18.649999618530273" customHeight="1">
      <x:c r="A109" s="43" t="s">
        <x:v>788</x:v>
      </x:c>
    </x:row>
    <x:row r="110" ht="14.649999618530273" customHeight="1">
      <x:c r="A110" s="38" t="s">
        <x:v>789</x:v>
      </x:c>
    </x:row>
    <x:row r="111" ht="14.649999618530273" customHeight="1">
      <x:c r="A111" s="38" t="s">
        <x:v>790</x:v>
      </x:c>
    </x:row>
    <x:row r="112" ht="14.649999618530273" customHeight="1">
      <x:c r="A112" s="38" t="s">
        <x:v>791</x:v>
      </x:c>
    </x:row>
    <x:row r="113" ht="14.649999618530273" customHeight="1">
      <x:c r="A113" s="38"/>
    </x:row>
    <x:row r="114" ht="18.649999618530273" customHeight="1">
      <x:c r="A114" s="43" t="s">
        <x:v>792</x:v>
      </x:c>
    </x:row>
    <x:row r="115" ht="14.649999618530273" customHeight="1">
      <x:c r="A115" s="38" t="s">
        <x:v>793</x:v>
      </x:c>
    </x:row>
    <x:row r="116" ht="14.649999618530273" customHeight="1">
      <x:c r="A116" s="38" t="s">
        <x:v>794</x:v>
      </x:c>
    </x:row>
    <x:row r="117" ht="14.649999618530273" customHeight="1">
      <x:c r="A117" s="38" t="s">
        <x:v>795</x:v>
      </x:c>
    </x:row>
    <x:row r="118" ht="14.649999618530273" customHeight="1">
      <x:c r="A118" s="38" t="s">
        <x:v>796</x:v>
      </x:c>
    </x:row>
    <x:row r="119" ht="14.649999618530273" customHeight="1">
      <x:c r="A119" s="38" t="s">
        <x:v>797</x:v>
      </x:c>
    </x:row>
    <x:row r="120" ht="14.649999618530273" customHeight="1">
      <x:c r="A120" s="38" t="s">
        <x:v>798</x:v>
      </x:c>
    </x:row>
    <x:row r="121" ht="14.649999618530273" customHeight="1">
      <x:c r="A121" s="38" t="s">
        <x:v>799</x:v>
      </x:c>
    </x:row>
    <x:row r="122" ht="14.649999618530273" customHeight="1">
      <x:c r="A122" s="38" t="s">
        <x:v>800</x:v>
      </x:c>
    </x:row>
    <x:row r="123" ht="14.649999618530273" customHeight="1">
      <x:c r="A123" s="38" t="s">
        <x:v>801</x:v>
      </x:c>
    </x:row>
    <x:row r="124" ht="14.649999618530273" customHeight="1">
      <x:c r="A124" s="38" t="s">
        <x:v>802</x:v>
      </x:c>
    </x:row>
    <x:row r="125" ht="14.649999618530273" customHeight="1">
      <x:c r="A125" s="38" t="s">
        <x:v>803</x:v>
      </x:c>
    </x:row>
    <x:row r="126" ht="14.649999618530273" customHeight="1">
      <x:c r="A126" s="38" t="s">
        <x:v>804</x:v>
      </x:c>
    </x:row>
    <x:row r="127" ht="14.649999618530273" customHeight="1">
      <x:c r="A127" s="38" t="s">
        <x:v>805</x:v>
      </x:c>
    </x:row>
    <x:row r="128" ht="14.649999618530273" customHeight="1">
      <x:c r="A128" s="38" t="s">
        <x:v>806</x:v>
      </x:c>
    </x:row>
    <x:row r="129" ht="14.649999618530273" customHeight="1">
      <x:c r="A129" s="38" t="s">
        <x:v>807</x:v>
      </x:c>
    </x:row>
    <x:row r="130" ht="14.649999618530273" customHeight="1">
      <x:c r="A130" s="38" t="s">
        <x:v>808</x:v>
      </x:c>
    </x:row>
    <x:row r="131" ht="14.649999618530273" customHeight="1">
      <x:c r="A131" s="38" t="s">
        <x:v>809</x:v>
      </x:c>
    </x:row>
    <x:row r="132" ht="14.649999618530273" customHeight="1">
      <x:c r="A132" s="38" t="s">
        <x:v>810</x:v>
      </x:c>
    </x:row>
    <x:row r="133" ht="14.649999618530273" customHeight="1">
      <x:c r="A133" s="38" t="s">
        <x:v>811</x:v>
      </x:c>
    </x:row>
    <x:row r="134" ht="14.649999618530273" customHeight="1">
      <x:c r="A134" s="38" t="s">
        <x:v>812</x:v>
      </x:c>
    </x:row>
    <x:row r="135" ht="14.649999618530273" customHeight="1">
      <x:c r="A135" s="38" t="s">
        <x:v>813</x:v>
      </x:c>
    </x:row>
    <x:row r="136" ht="14.649999618530273" customHeight="1">
      <x:c r="A136" s="38" t="s">
        <x:v>814</x:v>
      </x:c>
    </x:row>
    <x:row r="137" ht="14.649999618530273" customHeight="1">
      <x:c r="A137" s="38" t="s">
        <x:v>815</x:v>
      </x:c>
    </x:row>
    <x:row r="138" ht="14.649999618530273" customHeight="1">
      <x:c r="A138" s="38"/>
    </x:row>
    <x:row r="139" ht="18.649999618530273" customHeight="1">
      <x:c r="A139" s="43" t="s">
        <x:v>816</x:v>
      </x:c>
    </x:row>
    <x:row r="140" ht="14.649999618530273" customHeight="1">
      <x:c r="A140" s="38" t="s">
        <x:v>817</x:v>
      </x:c>
    </x:row>
    <x:row r="141" ht="14.649999618530273" customHeight="1">
      <x:c r="A141" s="38" t="s">
        <x:v>818</x:v>
      </x:c>
    </x:row>
    <x:row r="142" ht="14.649999618530273" customHeight="1">
      <x:c r="A142" s="38" t="s">
        <x:v>819</x:v>
      </x:c>
    </x:row>
    <x:row r="143" ht="14.649999618530273" customHeight="1">
      <x:c r="A143" s="38"/>
    </x:row>
    <x:row r="144" ht="18.649999618530273" customHeight="1">
      <x:c r="A144" s="43" t="s">
        <x:v>820</x:v>
      </x:c>
    </x:row>
    <x:row r="145" ht="14.649999618530273" customHeight="1">
      <x:c r="A145" s="38" t="s">
        <x:v>821</x:v>
      </x:c>
    </x:row>
    <x:row r="146" ht="14.649999618530273" customHeight="1">
      <x:c r="A146" s="38"/>
    </x:row>
    <x:row r="147" ht="18.649999618530273" customHeight="1">
      <x:c r="A147" s="43" t="s">
        <x:v>822</x:v>
      </x:c>
    </x:row>
    <x:row r="148" ht="14.649999618530273" customHeight="1">
      <x:c r="A148" s="38" t="s">
        <x:v>823</x:v>
      </x:c>
    </x:row>
    <x:row r="149" ht="14.649999618530273" customHeight="1">
      <x:c r="A149" s="38" t="s">
        <x:v>824</x:v>
      </x:c>
    </x:row>
    <x:row r="150" ht="14.649999618530273" customHeight="1">
      <x:c r="A150" s="38" t="s">
        <x:v>825</x:v>
      </x:c>
    </x:row>
    <x:row r="151" ht="14.649999618530273" customHeight="1">
      <x:c r="A151" s="38" t="s">
        <x:v>826</x:v>
      </x:c>
    </x:row>
    <x:row r="152" ht="14.649999618530273" customHeight="1">
      <x:c r="A152" s="38" t="s">
        <x:v>827</x:v>
      </x:c>
    </x:row>
    <x:row r="153" ht="14.649999618530273" customHeight="1">
      <x:c r="A153" s="38" t="s">
        <x:v>828</x:v>
      </x:c>
    </x:row>
    <x:row r="154" ht="14.649999618530273" customHeight="1">
      <x:c r="A154" s="38" t="s">
        <x:v>829</x:v>
      </x:c>
    </x:row>
    <x:row r="155" ht="14.649999618530273" customHeight="1">
      <x:c r="A155" s="38" t="s">
        <x:v>830</x:v>
      </x:c>
    </x:row>
    <x:row r="156" ht="14.649999618530273" customHeight="1">
      <x:c r="A156" s="38"/>
    </x:row>
    <x:row r="157" ht="18.649999618530273" customHeight="1">
      <x:c r="A157" s="43" t="s">
        <x:v>831</x:v>
      </x:c>
    </x:row>
    <x:row r="158" ht="14.649999618530273" customHeight="1">
      <x:c r="A158" s="38" t="s">
        <x:v>832</x:v>
      </x:c>
    </x:row>
    <x:row r="159" ht="14.649999618530273" customHeight="1">
      <x:c r="A159" s="38" t="s">
        <x:v>833</x:v>
      </x:c>
    </x:row>
    <x:row r="160" ht="14.649999618530273" customHeight="1">
      <x:c r="A160" s="38" t="s">
        <x:v>834</x:v>
      </x:c>
    </x:row>
    <x:row r="161" ht="14.649999618530273" customHeight="1">
      <x:c r="A161" s="38" t="s">
        <x:v>835</x:v>
      </x:c>
    </x:row>
    <x:row r="162" ht="14.649999618530273" customHeight="1">
      <x:c r="A162" s="38" t="s">
        <x:v>836</x:v>
      </x:c>
    </x:row>
    <x:row r="163" ht="14.649999618530273" customHeight="1">
      <x:c r="A163" s="38" t="s">
        <x:v>837</x:v>
      </x:c>
    </x:row>
    <x:row r="164" ht="14.649999618530273" customHeight="1">
      <x:c r="A164" s="38" t="s">
        <x:v>838</x:v>
      </x:c>
    </x:row>
  </x:sheetData>
  <x:pageMargins left="0.7" right="0.7" top="0.75" bottom="0.75" header="0.3" footer="0.3"/>
</x:worksheet>
</file>

<file path=xl/worksheets/sheet9.xml><?xml version="1.0" encoding="utf-8"?>
<x:worksheet xmlns:x="http://schemas.openxmlformats.org/spreadsheetml/2006/main">
  <x:sheetFormatPr defaultRowHeight="18"/>
  <x:cols>
    <x:col min="1" max="1" width="6" customWidth="1"/>
    <x:col min="2" max="2" width="10" customWidth="1"/>
    <x:col min="3" max="3" width="15" customWidth="1"/>
    <x:col min="4" max="4" width="10" customWidth="1"/>
    <x:col min="5" max="5" width="28" customWidth="1"/>
    <x:col min="6" max="6" width="10" customWidth="1"/>
    <x:col min="7" max="7" width="26" customWidth="1"/>
    <x:col min="8" max="8" width="34" customWidth="1"/>
    <x:col min="9" max="9" width="58" customWidth="1"/>
    <x:col min="10" max="10" width="38" customWidth="1"/>
    <x:col min="11" max="11" width="58" customWidth="1"/>
    <x:col min="12" max="12" width="10" customWidth="1"/>
  </x:cols>
  <x:sheetData>
    <x:row r="1" ht="10" customHeight="1">
      <x:c r="A1" s="44" t="s">
        <x:v>64</x:v>
      </x:c>
      <x:c r="B1" s="44" t="s">
        <x:v>66</x:v>
      </x:c>
      <x:c r="C1" s="44" t="s">
        <x:v>111</x:v>
      </x:c>
      <x:c r="D1" s="44" t="s">
        <x:v>839</x:v>
      </x:c>
      <x:c r="E1" s="44" t="s">
        <x:v>840</x:v>
      </x:c>
      <x:c r="F1" s="44" t="s">
        <x:v>841</x:v>
      </x:c>
      <x:c r="G1" s="44" t="s">
        <x:v>842</x:v>
      </x:c>
      <x:c r="H1" s="44" t="s">
        <x:v>843</x:v>
      </x:c>
      <x:c r="I1" s="44" t="s">
        <x:v>844</x:v>
      </x:c>
      <x:c r="J1" s="44" t="s">
        <x:v>845</x:v>
      </x:c>
      <x:c r="K1" s="44" t="s">
        <x:v>846</x:v>
      </x:c>
      <x:c r="L1" s="44" t="s">
        <x:v>847</x:v>
      </x:c>
    </x:row>
    <x:row r="2" ht="17.649999618530273" customHeight="1">
      <x:c r="A2" s="38">
        <x:v>1</x:v>
      </x:c>
      <x:c r="B2" s="38" t="s">
        <x:v>112</x:v>
      </x:c>
      <x:c r="C2" s="38" t="s">
        <x:v>121</x:v>
      </x:c>
      <x:c r="D2" s="38" t="s">
        <x:v>488</x:v>
      </x:c>
      <x:c r="E2" s="38" t="s">
        <x:v>848</x:v>
      </x:c>
      <x:c r="F2" s="38" t="s">
        <x:v>488</x:v>
      </x:c>
      <x:c r="G2" s="38" t="s">
        <x:v>113</x:v>
      </x:c>
      <x:c r="H2" s="38" t="s">
        <x:v>584</x:v>
      </x:c>
      <x:c r="I2" s="38" t="s">
        <x:v>849</x:v>
      </x:c>
      <x:c r="J2" s="38" t="s">
        <x:v>115</x:v>
      </x:c>
      <x:c r="K2" s="38" t="s">
        <x:v>116</x:v>
      </x:c>
      <x:c r="L2" s="38" t="str">
        <x:f t="shared" ref="L2:L33" si="0">IF(AND(D2=F2,E2=H2),"維持","変更")</x:f>
        <x:v>変更</x:v>
      </x:c>
    </x:row>
    <x:row r="3" ht="17.649999618530273" customHeight="1">
      <x:c r="A3" s="38">
        <x:v>2</x:v>
      </x:c>
      <x:c r="B3" s="38" t="s">
        <x:v>122</x:v>
      </x:c>
      <x:c r="C3" s="38" t="s">
        <x:v>130</x:v>
      </x:c>
      <x:c r="D3" s="38" t="s">
        <x:v>489</x:v>
      </x:c>
      <x:c r="E3" s="38" t="s">
        <x:v>585</x:v>
      </x:c>
      <x:c r="F3" s="38" t="s">
        <x:v>489</x:v>
      </x:c>
      <x:c r="G3" s="38" t="s">
        <x:v>123</x:v>
      </x:c>
      <x:c r="H3" s="38" t="s">
        <x:v>585</x:v>
      </x:c>
      <x:c r="I3" s="38" t="s">
        <x:v>850</x:v>
      </x:c>
      <x:c r="J3" s="38" t="s">
        <x:v>125</x:v>
      </x:c>
      <x:c r="K3" s="38" t="s">
        <x:v>126</x:v>
      </x:c>
      <x:c r="L3" s="38" t="str">
        <x:f t="shared" si="0"/>
        <x:v>維持</x:v>
      </x:c>
    </x:row>
    <x:row r="4" ht="17.649999618530273" customHeight="1">
      <x:c r="A4" s="38">
        <x:v>3</x:v>
      </x:c>
      <x:c r="B4" s="38" t="s">
        <x:v>131</x:v>
      </x:c>
      <x:c r="C4" s="38" t="s">
        <x:v>139</x:v>
      </x:c>
      <x:c r="D4" s="38" t="s">
        <x:v>490</x:v>
      </x:c>
      <x:c r="E4" s="38" t="s">
        <x:v>851</x:v>
      </x:c>
      <x:c r="F4" s="38" t="s">
        <x:v>490</x:v>
      </x:c>
      <x:c r="G4" s="38" t="s">
        <x:v>132</x:v>
      </x:c>
      <x:c r="H4" s="38" t="s">
        <x:v>586</x:v>
      </x:c>
      <x:c r="I4" s="38" t="s">
        <x:v>852</x:v>
      </x:c>
      <x:c r="J4" s="38" t="s">
        <x:v>134</x:v>
      </x:c>
      <x:c r="K4" s="38" t="s">
        <x:v>135</x:v>
      </x:c>
      <x:c r="L4" s="38" t="str">
        <x:f t="shared" si="0"/>
        <x:v>変更</x:v>
      </x:c>
    </x:row>
    <x:row r="5" ht="17.649999618530273" customHeight="1">
      <x:c r="A5" s="38">
        <x:v>4</x:v>
      </x:c>
      <x:c r="B5" s="38" t="s">
        <x:v>140</x:v>
      </x:c>
      <x:c r="C5" s="38" t="s">
        <x:v>148</x:v>
      </x:c>
      <x:c r="D5" s="38" t="s">
        <x:v>491</x:v>
      </x:c>
      <x:c r="E5" s="38" t="s">
        <x:v>853</x:v>
      </x:c>
      <x:c r="F5" s="38" t="s">
        <x:v>493</x:v>
      </x:c>
      <x:c r="G5" s="38" t="s">
        <x:v>141</x:v>
      </x:c>
      <x:c r="H5" s="38" t="s">
        <x:v>587</x:v>
      </x:c>
      <x:c r="I5" s="38" t="s">
        <x:v>854</x:v>
      </x:c>
      <x:c r="J5" s="38" t="s">
        <x:v>143</x:v>
      </x:c>
      <x:c r="K5" s="38" t="s">
        <x:v>144</x:v>
      </x:c>
      <x:c r="L5" s="38" t="str">
        <x:f t="shared" si="0"/>
        <x:v>変更</x:v>
      </x:c>
    </x:row>
    <x:row r="6" ht="17.649999618530273" customHeight="1">
      <x:c r="A6" s="38">
        <x:v>5</x:v>
      </x:c>
      <x:c r="B6" s="38" t="s">
        <x:v>149</x:v>
      </x:c>
      <x:c r="C6" s="38" t="s">
        <x:v>152</x:v>
      </x:c>
      <x:c r="D6" s="38" t="s">
        <x:v>492</x:v>
      </x:c>
      <x:c r="E6" s="38" t="s">
        <x:v>855</x:v>
      </x:c>
      <x:c r="F6" s="38" t="s">
        <x:v>493</x:v>
      </x:c>
      <x:c r="G6" s="38" t="s">
        <x:v>141</x:v>
      </x:c>
      <x:c r="H6" s="38" t="s">
        <x:v>588</x:v>
      </x:c>
      <x:c r="I6" s="38" t="s">
        <x:v>856</x:v>
      </x:c>
      <x:c r="J6" s="38" t="s">
        <x:v>143</x:v>
      </x:c>
      <x:c r="K6" s="38" t="s">
        <x:v>144</x:v>
      </x:c>
      <x:c r="L6" s="38" t="str">
        <x:f t="shared" si="0"/>
        <x:v>変更</x:v>
      </x:c>
    </x:row>
    <x:row r="7" ht="17.649999618530273" customHeight="1">
      <x:c r="A7" s="38">
        <x:v>6</x:v>
      </x:c>
      <x:c r="B7" s="38" t="s">
        <x:v>153</x:v>
      </x:c>
      <x:c r="C7" s="38" t="s">
        <x:v>156</x:v>
      </x:c>
      <x:c r="D7" s="38" t="s">
        <x:v>470</x:v>
      </x:c>
      <x:c r="E7" s="38" t="s">
        <x:v>857</x:v>
      </x:c>
      <x:c r="F7" s="38" t="s">
        <x:v>489</x:v>
      </x:c>
      <x:c r="G7" s="38" t="s">
        <x:v>123</x:v>
      </x:c>
      <x:c r="H7" s="38" t="s">
        <x:v>589</x:v>
      </x:c>
      <x:c r="I7" s="38" t="s">
        <x:v>858</x:v>
      </x:c>
      <x:c r="J7" s="38" t="s">
        <x:v>125</x:v>
      </x:c>
      <x:c r="K7" s="38" t="s">
        <x:v>126</x:v>
      </x:c>
      <x:c r="L7" s="38" t="str">
        <x:f t="shared" si="0"/>
        <x:v>変更</x:v>
      </x:c>
    </x:row>
    <x:row r="8" ht="17.649999618530273" customHeight="1">
      <x:c r="A8" s="38">
        <x:v>7</x:v>
      </x:c>
      <x:c r="B8" s="38" t="s">
        <x:v>157</x:v>
      </x:c>
      <x:c r="C8" s="38" t="s">
        <x:v>166</x:v>
      </x:c>
      <x:c r="D8" s="38" t="s">
        <x:v>493</x:v>
      </x:c>
      <x:c r="E8" s="38" t="s">
        <x:v>859</x:v>
      </x:c>
      <x:c r="F8" s="38" t="s">
        <x:v>492</x:v>
      </x:c>
      <x:c r="G8" s="38" t="s">
        <x:v>158</x:v>
      </x:c>
      <x:c r="H8" s="38" t="s">
        <x:v>590</x:v>
      </x:c>
      <x:c r="I8" s="38" t="s">
        <x:v>860</x:v>
      </x:c>
      <x:c r="J8" s="38" t="s">
        <x:v>160</x:v>
      </x:c>
      <x:c r="K8" s="38" t="s">
        <x:v>161</x:v>
      </x:c>
      <x:c r="L8" s="38" t="str">
        <x:f t="shared" si="0"/>
        <x:v>変更</x:v>
      </x:c>
    </x:row>
    <x:row r="9" ht="17.649999618530273" customHeight="1">
      <x:c r="A9" s="38">
        <x:v>8</x:v>
      </x:c>
      <x:c r="B9" s="38" t="s">
        <x:v>167</x:v>
      </x:c>
      <x:c r="C9" s="38" t="s">
        <x:v>175</x:v>
      </x:c>
      <x:c r="D9" s="38" t="s">
        <x:v>494</x:v>
      </x:c>
      <x:c r="E9" s="38" t="s">
        <x:v>861</x:v>
      </x:c>
      <x:c r="F9" s="38" t="s">
        <x:v>470</x:v>
      </x:c>
      <x:c r="G9" s="38" t="s">
        <x:v>168</x:v>
      </x:c>
      <x:c r="H9" s="38" t="s">
        <x:v>591</x:v>
      </x:c>
      <x:c r="I9" s="38" t="s">
        <x:v>862</x:v>
      </x:c>
      <x:c r="J9" s="38" t="s">
        <x:v>170</x:v>
      </x:c>
      <x:c r="K9" s="38" t="s">
        <x:v>171</x:v>
      </x:c>
      <x:c r="L9" s="38" t="str">
        <x:f t="shared" si="0"/>
        <x:v>変更</x:v>
      </x:c>
    </x:row>
    <x:row r="10" ht="17.649999618530273" customHeight="1">
      <x:c r="A10" s="38">
        <x:v>9</x:v>
      </x:c>
      <x:c r="B10" s="38" t="s">
        <x:v>176</x:v>
      </x:c>
      <x:c r="C10" s="38" t="s">
        <x:v>179</x:v>
      </x:c>
      <x:c r="D10" s="38" t="s">
        <x:v>495</x:v>
      </x:c>
      <x:c r="E10" s="38" t="s">
        <x:v>863</x:v>
      </x:c>
      <x:c r="F10" s="38" t="s">
        <x:v>493</x:v>
      </x:c>
      <x:c r="G10" s="38" t="s">
        <x:v>141</x:v>
      </x:c>
      <x:c r="H10" s="38" t="s">
        <x:v>592</x:v>
      </x:c>
      <x:c r="I10" s="38" t="s">
        <x:v>864</x:v>
      </x:c>
      <x:c r="J10" s="38" t="s">
        <x:v>143</x:v>
      </x:c>
      <x:c r="K10" s="38" t="s">
        <x:v>144</x:v>
      </x:c>
      <x:c r="L10" s="38" t="str">
        <x:f t="shared" si="0"/>
        <x:v>変更</x:v>
      </x:c>
    </x:row>
    <x:row r="11" ht="17.649999618530273" customHeight="1">
      <x:c r="A11" s="38">
        <x:v>10</x:v>
      </x:c>
      <x:c r="B11" s="38" t="s">
        <x:v>180</x:v>
      </x:c>
      <x:c r="C11" s="38" t="s">
        <x:v>183</x:v>
      </x:c>
      <x:c r="D11" s="38" t="s">
        <x:v>496</x:v>
      </x:c>
      <x:c r="E11" s="38" t="s">
        <x:v>865</x:v>
      </x:c>
      <x:c r="F11" s="38" t="s">
        <x:v>488</x:v>
      </x:c>
      <x:c r="G11" s="38" t="s">
        <x:v>113</x:v>
      </x:c>
      <x:c r="H11" s="38" t="s">
        <x:v>584</x:v>
      </x:c>
      <x:c r="I11" s="38" t="s">
        <x:v>866</x:v>
      </x:c>
      <x:c r="J11" s="38" t="s">
        <x:v>115</x:v>
      </x:c>
      <x:c r="K11" s="38" t="s">
        <x:v>116</x:v>
      </x:c>
      <x:c r="L11" s="38" t="str">
        <x:f t="shared" si="0"/>
        <x:v>変更</x:v>
      </x:c>
    </x:row>
    <x:row r="12" ht="17.649999618530273" customHeight="1">
      <x:c r="A12" s="38">
        <x:v>11</x:v>
      </x:c>
      <x:c r="B12" s="38" t="s">
        <x:v>184</x:v>
      </x:c>
      <x:c r="C12" s="38" t="s">
        <x:v>186</x:v>
      </x:c>
      <x:c r="D12" s="38" t="s">
        <x:v>488</x:v>
      </x:c>
      <x:c r="E12" s="38" t="s">
        <x:v>848</x:v>
      </x:c>
      <x:c r="F12" s="38" t="s">
        <x:v>488</x:v>
      </x:c>
      <x:c r="G12" s="38" t="s">
        <x:v>113</x:v>
      </x:c>
      <x:c r="H12" s="38" t="s">
        <x:v>584</x:v>
      </x:c>
      <x:c r="I12" s="38" t="s">
        <x:v>867</x:v>
      </x:c>
      <x:c r="J12" s="38" t="s">
        <x:v>115</x:v>
      </x:c>
      <x:c r="K12" s="38" t="s">
        <x:v>116</x:v>
      </x:c>
      <x:c r="L12" s="38" t="str">
        <x:f t="shared" si="0"/>
        <x:v>変更</x:v>
      </x:c>
    </x:row>
    <x:row r="13" ht="17.649999618530273" customHeight="1">
      <x:c r="A13" s="38">
        <x:v>12</x:v>
      </x:c>
      <x:c r="B13" s="38" t="s">
        <x:v>187</x:v>
      </x:c>
      <x:c r="C13" s="38" t="s">
        <x:v>189</x:v>
      </x:c>
      <x:c r="D13" s="38" t="s">
        <x:v>489</x:v>
      </x:c>
      <x:c r="E13" s="38" t="s">
        <x:v>7</x:v>
      </x:c>
      <x:c r="F13" s="38" t="s">
        <x:v>489</x:v>
      </x:c>
      <x:c r="G13" s="38" t="s">
        <x:v>123</x:v>
      </x:c>
      <x:c r="H13" s="38" t="s">
        <x:v>585</x:v>
      </x:c>
      <x:c r="I13" s="38" t="s">
        <x:v>868</x:v>
      </x:c>
      <x:c r="J13" s="38" t="s">
        <x:v>125</x:v>
      </x:c>
      <x:c r="K13" s="38" t="s">
        <x:v>126</x:v>
      </x:c>
      <x:c r="L13" s="38" t="str">
        <x:f t="shared" si="0"/>
        <x:v>変更</x:v>
      </x:c>
    </x:row>
    <x:row r="14" ht="17.649999618530273" customHeight="1">
      <x:c r="A14" s="38">
        <x:v>13</x:v>
      </x:c>
      <x:c r="B14" s="38" t="s">
        <x:v>190</x:v>
      </x:c>
      <x:c r="C14" s="38" t="s">
        <x:v>198</x:v>
      </x:c>
      <x:c r="D14" s="38" t="s">
        <x:v>490</x:v>
      </x:c>
      <x:c r="E14" s="38" t="s">
        <x:v>851</x:v>
      </x:c>
      <x:c r="F14" s="38" t="s">
        <x:v>495</x:v>
      </x:c>
      <x:c r="G14" s="38" t="s">
        <x:v>191</x:v>
      </x:c>
      <x:c r="H14" s="38" t="s">
        <x:v>593</x:v>
      </x:c>
      <x:c r="I14" s="38" t="s">
        <x:v>869</x:v>
      </x:c>
      <x:c r="J14" s="38" t="s">
        <x:v>192</x:v>
      </x:c>
      <x:c r="K14" s="38" t="s">
        <x:v>193</x:v>
      </x:c>
      <x:c r="L14" s="38" t="str">
        <x:f t="shared" si="0"/>
        <x:v>変更</x:v>
      </x:c>
    </x:row>
    <x:row r="15" ht="17.649999618530273" customHeight="1">
      <x:c r="A15" s="38">
        <x:v>14</x:v>
      </x:c>
      <x:c r="B15" s="38" t="s">
        <x:v>199</x:v>
      </x:c>
      <x:c r="C15" s="38" t="s">
        <x:v>206</x:v>
      </x:c>
      <x:c r="D15" s="38" t="s">
        <x:v>491</x:v>
      </x:c>
      <x:c r="E15" s="38" t="s">
        <x:v>853</x:v>
      </x:c>
      <x:c r="F15" s="38" t="s">
        <x:v>491</x:v>
      </x:c>
      <x:c r="G15" s="38" t="s">
        <x:v>200</x:v>
      </x:c>
      <x:c r="H15" s="38" t="s">
        <x:v>587</x:v>
      </x:c>
      <x:c r="I15" s="38" t="s">
        <x:v>870</x:v>
      </x:c>
      <x:c r="J15" s="38" t="s">
        <x:v>201</x:v>
      </x:c>
      <x:c r="K15" s="38" t="s">
        <x:v>202</x:v>
      </x:c>
      <x:c r="L15" s="38" t="str">
        <x:f t="shared" si="0"/>
        <x:v>変更</x:v>
      </x:c>
    </x:row>
    <x:row r="16" ht="17.649999618530273" customHeight="1">
      <x:c r="A16" s="38">
        <x:v>15</x:v>
      </x:c>
      <x:c r="B16" s="38" t="s">
        <x:v>207</x:v>
      </x:c>
      <x:c r="C16" s="38" t="s">
        <x:v>210</x:v>
      </x:c>
      <x:c r="D16" s="38" t="s">
        <x:v>492</x:v>
      </x:c>
      <x:c r="E16" s="38" t="s">
        <x:v>871</x:v>
      </x:c>
      <x:c r="F16" s="38" t="s">
        <x:v>492</x:v>
      </x:c>
      <x:c r="G16" s="38" t="s">
        <x:v>158</x:v>
      </x:c>
      <x:c r="H16" s="38" t="s">
        <x:v>590</x:v>
      </x:c>
      <x:c r="I16" s="38" t="s">
        <x:v>872</x:v>
      </x:c>
      <x:c r="J16" s="38" t="s">
        <x:v>160</x:v>
      </x:c>
      <x:c r="K16" s="38" t="s">
        <x:v>161</x:v>
      </x:c>
      <x:c r="L16" s="38" t="str">
        <x:f t="shared" si="0"/>
        <x:v>変更</x:v>
      </x:c>
    </x:row>
    <x:row r="17" ht="17.649999618530273" customHeight="1">
      <x:c r="A17" s="38">
        <x:v>16</x:v>
      </x:c>
      <x:c r="B17" s="38" t="s">
        <x:v>211</x:v>
      </x:c>
      <x:c r="C17" s="38" t="s">
        <x:v>214</x:v>
      </x:c>
      <x:c r="D17" s="38" t="s">
        <x:v>470</x:v>
      </x:c>
      <x:c r="E17" s="38" t="s">
        <x:v>873</x:v>
      </x:c>
      <x:c r="F17" s="38" t="s">
        <x:v>491</x:v>
      </x:c>
      <x:c r="G17" s="38" t="s">
        <x:v>200</x:v>
      </x:c>
      <x:c r="H17" s="38" t="s">
        <x:v>594</x:v>
      </x:c>
      <x:c r="I17" s="38" t="s">
        <x:v>874</x:v>
      </x:c>
      <x:c r="J17" s="38" t="s">
        <x:v>201</x:v>
      </x:c>
      <x:c r="K17" s="38" t="s">
        <x:v>202</x:v>
      </x:c>
      <x:c r="L17" s="38" t="str">
        <x:f t="shared" si="0"/>
        <x:v>変更</x:v>
      </x:c>
    </x:row>
    <x:row r="18" ht="17.649999618530273" customHeight="1">
      <x:c r="A18" s="38">
        <x:v>17</x:v>
      </x:c>
      <x:c r="B18" s="38" t="s">
        <x:v>215</x:v>
      </x:c>
      <x:c r="C18" s="38" t="s">
        <x:v>217</x:v>
      </x:c>
      <x:c r="D18" s="38" t="s">
        <x:v>493</x:v>
      </x:c>
      <x:c r="E18" s="38" t="s">
        <x:v>875</x:v>
      </x:c>
      <x:c r="F18" s="38" t="s">
        <x:v>493</x:v>
      </x:c>
      <x:c r="G18" s="38" t="s">
        <x:v>141</x:v>
      </x:c>
      <x:c r="H18" s="38" t="s">
        <x:v>595</x:v>
      </x:c>
      <x:c r="I18" s="38" t="s">
        <x:v>876</x:v>
      </x:c>
      <x:c r="J18" s="38" t="s">
        <x:v>143</x:v>
      </x:c>
      <x:c r="K18" s="38" t="s">
        <x:v>144</x:v>
      </x:c>
      <x:c r="L18" s="38" t="str">
        <x:f t="shared" si="0"/>
        <x:v>変更</x:v>
      </x:c>
    </x:row>
    <x:row r="19" ht="17.649999618530273" customHeight="1">
      <x:c r="A19" s="38">
        <x:v>18</x:v>
      </x:c>
      <x:c r="B19" s="38" t="s">
        <x:v>218</x:v>
      </x:c>
      <x:c r="C19" s="38" t="s">
        <x:v>221</x:v>
      </x:c>
      <x:c r="D19" s="38" t="s">
        <x:v>494</x:v>
      </x:c>
      <x:c r="E19" s="38" t="s">
        <x:v>18</x:v>
      </x:c>
      <x:c r="F19" s="38" t="s">
        <x:v>493</x:v>
      </x:c>
      <x:c r="G19" s="38" t="s">
        <x:v>141</x:v>
      </x:c>
      <x:c r="H19" s="38" t="s">
        <x:v>596</x:v>
      </x:c>
      <x:c r="I19" s="38" t="s">
        <x:v>877</x:v>
      </x:c>
      <x:c r="J19" s="38" t="s">
        <x:v>143</x:v>
      </x:c>
      <x:c r="K19" s="38" t="s">
        <x:v>144</x:v>
      </x:c>
      <x:c r="L19" s="38" t="str">
        <x:f t="shared" si="0"/>
        <x:v>変更</x:v>
      </x:c>
    </x:row>
    <x:row r="20" ht="17.649999618530273" customHeight="1">
      <x:c r="A20" s="38">
        <x:v>19</x:v>
      </x:c>
      <x:c r="B20" s="38" t="s">
        <x:v>222</x:v>
      </x:c>
      <x:c r="C20" s="38" t="s">
        <x:v>224</x:v>
      </x:c>
      <x:c r="D20" s="38" t="s">
        <x:v>495</x:v>
      </x:c>
      <x:c r="E20" s="38" t="s">
        <x:v>878</x:v>
      </x:c>
      <x:c r="F20" s="38" t="s">
        <x:v>470</x:v>
      </x:c>
      <x:c r="G20" s="38" t="s">
        <x:v>168</x:v>
      </x:c>
      <x:c r="H20" s="38" t="s">
        <x:v>597</x:v>
      </x:c>
      <x:c r="I20" s="38" t="s">
        <x:v>879</x:v>
      </x:c>
      <x:c r="J20" s="38" t="s">
        <x:v>170</x:v>
      </x:c>
      <x:c r="K20" s="38" t="s">
        <x:v>171</x:v>
      </x:c>
      <x:c r="L20" s="38" t="str">
        <x:f t="shared" si="0"/>
        <x:v>変更</x:v>
      </x:c>
    </x:row>
    <x:row r="21" ht="17.649999618530273" customHeight="1">
      <x:c r="A21" s="38">
        <x:v>20</x:v>
      </x:c>
      <x:c r="B21" s="38" t="s">
        <x:v>225</x:v>
      </x:c>
      <x:c r="C21" s="38" t="s">
        <x:v>233</x:v>
      </x:c>
      <x:c r="D21" s="38" t="s">
        <x:v>496</x:v>
      </x:c>
      <x:c r="E21" s="38" t="s">
        <x:v>880</x:v>
      </x:c>
      <x:c r="F21" s="38" t="s">
        <x:v>480</x:v>
      </x:c>
      <x:c r="G21" s="38" t="s">
        <x:v>226</x:v>
      </x:c>
      <x:c r="H21" s="38" t="s">
        <x:v>598</x:v>
      </x:c>
      <x:c r="I21" s="38" t="s">
        <x:v>881</x:v>
      </x:c>
      <x:c r="J21" s="38" t="s">
        <x:v>228</x:v>
      </x:c>
      <x:c r="K21" s="38" t="s">
        <x:v>229</x:v>
      </x:c>
      <x:c r="L21" s="38" t="str">
        <x:f t="shared" si="0"/>
        <x:v>変更</x:v>
      </x:c>
    </x:row>
    <x:row r="22" ht="17.649999618530273" customHeight="1">
      <x:c r="A22" s="38">
        <x:v>21</x:v>
      </x:c>
      <x:c r="B22" s="38" t="s">
        <x:v>234</x:v>
      </x:c>
      <x:c r="C22" s="38" t="s">
        <x:v>237</x:v>
      </x:c>
      <x:c r="D22" s="38" t="s">
        <x:v>488</x:v>
      </x:c>
      <x:c r="E22" s="38" t="s">
        <x:v>848</x:v>
      </x:c>
      <x:c r="F22" s="38" t="s">
        <x:v>488</x:v>
      </x:c>
      <x:c r="G22" s="38" t="s">
        <x:v>113</x:v>
      </x:c>
      <x:c r="H22" s="38" t="s">
        <x:v>584</x:v>
      </x:c>
      <x:c r="I22" s="38" t="s">
        <x:v>882</x:v>
      </x:c>
      <x:c r="J22" s="38" t="s">
        <x:v>115</x:v>
      </x:c>
      <x:c r="K22" s="38" t="s">
        <x:v>116</x:v>
      </x:c>
      <x:c r="L22" s="38" t="str">
        <x:f t="shared" si="0"/>
        <x:v>変更</x:v>
      </x:c>
    </x:row>
    <x:row r="23" ht="17.649999618530273" customHeight="1">
      <x:c r="A23" s="38">
        <x:v>22</x:v>
      </x:c>
      <x:c r="B23" s="38" t="s">
        <x:v>238</x:v>
      </x:c>
      <x:c r="C23" s="38" t="s">
        <x:v>240</x:v>
      </x:c>
      <x:c r="D23" s="38" t="s">
        <x:v>489</x:v>
      </x:c>
      <x:c r="E23" s="38" t="s">
        <x:v>7</x:v>
      </x:c>
      <x:c r="F23" s="38" t="s">
        <x:v>495</x:v>
      </x:c>
      <x:c r="G23" s="38" t="s">
        <x:v>191</x:v>
      </x:c>
      <x:c r="H23" s="38" t="s">
        <x:v>599</x:v>
      </x:c>
      <x:c r="I23" s="38" t="s">
        <x:v>883</x:v>
      </x:c>
      <x:c r="J23" s="38" t="s">
        <x:v>192</x:v>
      </x:c>
      <x:c r="K23" s="38" t="s">
        <x:v>193</x:v>
      </x:c>
      <x:c r="L23" s="38" t="str">
        <x:f t="shared" si="0"/>
        <x:v>変更</x:v>
      </x:c>
    </x:row>
    <x:row r="24" ht="17.649999618530273" customHeight="1">
      <x:c r="A24" s="38">
        <x:v>23</x:v>
      </x:c>
      <x:c r="B24" s="38" t="s">
        <x:v>241</x:v>
      </x:c>
      <x:c r="C24" s="38" t="s">
        <x:v>244</x:v>
      </x:c>
      <x:c r="D24" s="38" t="s">
        <x:v>490</x:v>
      </x:c>
      <x:c r="E24" s="38" t="s">
        <x:v>851</x:v>
      </x:c>
      <x:c r="F24" s="38" t="s">
        <x:v>493</x:v>
      </x:c>
      <x:c r="G24" s="38" t="s">
        <x:v>141</x:v>
      </x:c>
      <x:c r="H24" s="38" t="s">
        <x:v>600</x:v>
      </x:c>
      <x:c r="I24" s="38" t="s">
        <x:v>884</x:v>
      </x:c>
      <x:c r="J24" s="38" t="s">
        <x:v>143</x:v>
      </x:c>
      <x:c r="K24" s="38" t="s">
        <x:v>144</x:v>
      </x:c>
      <x:c r="L24" s="38" t="str">
        <x:f t="shared" si="0"/>
        <x:v>変更</x:v>
      </x:c>
    </x:row>
    <x:row r="25" ht="17.649999618530273" customHeight="1">
      <x:c r="A25" s="38">
        <x:v>24</x:v>
      </x:c>
      <x:c r="B25" s="38" t="s">
        <x:v>245</x:v>
      </x:c>
      <x:c r="C25" s="38" t="s">
        <x:v>247</x:v>
      </x:c>
      <x:c r="D25" s="38" t="s">
        <x:v>491</x:v>
      </x:c>
      <x:c r="E25" s="38" t="s">
        <x:v>885</x:v>
      </x:c>
      <x:c r="F25" s="38" t="s">
        <x:v>491</x:v>
      </x:c>
      <x:c r="G25" s="38" t="s">
        <x:v>200</x:v>
      </x:c>
      <x:c r="H25" s="38" t="s">
        <x:v>601</x:v>
      </x:c>
      <x:c r="I25" s="38" t="s">
        <x:v>886</x:v>
      </x:c>
      <x:c r="J25" s="38" t="s">
        <x:v>201</x:v>
      </x:c>
      <x:c r="K25" s="38" t="s">
        <x:v>202</x:v>
      </x:c>
      <x:c r="L25" s="38" t="str">
        <x:f t="shared" si="0"/>
        <x:v>変更</x:v>
      </x:c>
    </x:row>
    <x:row r="26" ht="17.649999618530273" customHeight="1">
      <x:c r="A26" s="38">
        <x:v>25</x:v>
      </x:c>
      <x:c r="B26" s="38" t="s">
        <x:v>248</x:v>
      </x:c>
      <x:c r="C26" s="38" t="s">
        <x:v>251</x:v>
      </x:c>
      <x:c r="D26" s="38" t="s">
        <x:v>492</x:v>
      </x:c>
      <x:c r="E26" s="38" t="s">
        <x:v>871</x:v>
      </x:c>
      <x:c r="F26" s="38" t="s">
        <x:v>492</x:v>
      </x:c>
      <x:c r="G26" s="38" t="s">
        <x:v>158</x:v>
      </x:c>
      <x:c r="H26" s="38" t="s">
        <x:v>590</x:v>
      </x:c>
      <x:c r="I26" s="38" t="s">
        <x:v>887</x:v>
      </x:c>
      <x:c r="J26" s="38" t="s">
        <x:v>160</x:v>
      </x:c>
      <x:c r="K26" s="38" t="s">
        <x:v>161</x:v>
      </x:c>
      <x:c r="L26" s="38" t="str">
        <x:f t="shared" si="0"/>
        <x:v>変更</x:v>
      </x:c>
    </x:row>
    <x:row r="27" ht="17.649999618530273" customHeight="1">
      <x:c r="A27" s="38">
        <x:v>26</x:v>
      </x:c>
      <x:c r="B27" s="38" t="s">
        <x:v>252</x:v>
      </x:c>
      <x:c r="C27" s="38" t="s">
        <x:v>255</x:v>
      </x:c>
      <x:c r="D27" s="38" t="s">
        <x:v>470</x:v>
      </x:c>
      <x:c r="E27" s="38" t="s">
        <x:v>888</x:v>
      </x:c>
      <x:c r="F27" s="38" t="s">
        <x:v>470</x:v>
      </x:c>
      <x:c r="G27" s="38" t="s">
        <x:v>168</x:v>
      </x:c>
      <x:c r="H27" s="38" t="s">
        <x:v>602</x:v>
      </x:c>
      <x:c r="I27" s="38" t="s">
        <x:v>889</x:v>
      </x:c>
      <x:c r="J27" s="38" t="s">
        <x:v>170</x:v>
      </x:c>
      <x:c r="K27" s="38" t="s">
        <x:v>171</x:v>
      </x:c>
      <x:c r="L27" s="38" t="str">
        <x:f t="shared" si="0"/>
        <x:v>変更</x:v>
      </x:c>
    </x:row>
    <x:row r="28" ht="17.649999618530273" customHeight="1">
      <x:c r="A28" s="38">
        <x:v>27</x:v>
      </x:c>
      <x:c r="B28" s="38" t="s">
        <x:v>256</x:v>
      </x:c>
      <x:c r="C28" s="38" t="s">
        <x:v>258</x:v>
      </x:c>
      <x:c r="D28" s="38" t="s">
        <x:v>493</x:v>
      </x:c>
      <x:c r="E28" s="38" t="s">
        <x:v>890</x:v>
      </x:c>
      <x:c r="F28" s="38" t="s">
        <x:v>493</x:v>
      </x:c>
      <x:c r="G28" s="38" t="s">
        <x:v>141</x:v>
      </x:c>
      <x:c r="H28" s="38" t="s">
        <x:v>603</x:v>
      </x:c>
      <x:c r="I28" s="38" t="s">
        <x:v>891</x:v>
      </x:c>
      <x:c r="J28" s="38" t="s">
        <x:v>143</x:v>
      </x:c>
      <x:c r="K28" s="38" t="s">
        <x:v>144</x:v>
      </x:c>
      <x:c r="L28" s="38" t="str">
        <x:f t="shared" si="0"/>
        <x:v>変更</x:v>
      </x:c>
    </x:row>
    <x:row r="29" ht="17.649999618530273" customHeight="1">
      <x:c r="A29" s="38">
        <x:v>28</x:v>
      </x:c>
      <x:c r="B29" s="38" t="s">
        <x:v>259</x:v>
      </x:c>
      <x:c r="C29" s="38" t="s">
        <x:v>266</x:v>
      </x:c>
      <x:c r="D29" s="38" t="s">
        <x:v>494</x:v>
      </x:c>
      <x:c r="E29" s="38" t="s">
        <x:v>892</x:v>
      </x:c>
      <x:c r="F29" s="38" t="s">
        <x:v>494</x:v>
      </x:c>
      <x:c r="G29" s="38" t="s">
        <x:v>260</x:v>
      </x:c>
      <x:c r="H29" s="38" t="s">
        <x:v>604</x:v>
      </x:c>
      <x:c r="I29" s="38" t="s">
        <x:v>893</x:v>
      </x:c>
      <x:c r="J29" s="38" t="s">
        <x:v>261</x:v>
      </x:c>
      <x:c r="K29" s="38" t="s">
        <x:v>262</x:v>
      </x:c>
      <x:c r="L29" s="38" t="str">
        <x:f t="shared" si="0"/>
        <x:v>変更</x:v>
      </x:c>
    </x:row>
    <x:row r="30" ht="17.649999618530273" customHeight="1">
      <x:c r="A30" s="38">
        <x:v>29</x:v>
      </x:c>
      <x:c r="B30" s="38" t="s">
        <x:v>267</x:v>
      </x:c>
      <x:c r="C30" s="38" t="s">
        <x:v>270</x:v>
      </x:c>
      <x:c r="D30" s="38" t="s">
        <x:v>495</x:v>
      </x:c>
      <x:c r="E30" s="38" t="s">
        <x:v>894</x:v>
      </x:c>
      <x:c r="F30" s="38" t="s">
        <x:v>495</x:v>
      </x:c>
      <x:c r="G30" s="38" t="s">
        <x:v>191</x:v>
      </x:c>
      <x:c r="H30" s="38" t="s">
        <x:v>605</x:v>
      </x:c>
      <x:c r="I30" s="38" t="s">
        <x:v>895</x:v>
      </x:c>
      <x:c r="J30" s="38" t="s">
        <x:v>192</x:v>
      </x:c>
      <x:c r="K30" s="38" t="s">
        <x:v>193</x:v>
      </x:c>
      <x:c r="L30" s="38" t="str">
        <x:f t="shared" si="0"/>
        <x:v>変更</x:v>
      </x:c>
    </x:row>
    <x:row r="31" ht="17.649999618530273" customHeight="1">
      <x:c r="A31" s="38">
        <x:v>30</x:v>
      </x:c>
      <x:c r="B31" s="38" t="s">
        <x:v>271</x:v>
      </x:c>
      <x:c r="C31" s="38" t="s">
        <x:v>279</x:v>
      </x:c>
      <x:c r="D31" s="38" t="s">
        <x:v>496</x:v>
      </x:c>
      <x:c r="E31" s="38" t="s">
        <x:v>896</x:v>
      </x:c>
      <x:c r="F31" s="38" t="s">
        <x:v>496</x:v>
      </x:c>
      <x:c r="G31" s="38" t="s">
        <x:v>272</x:v>
      </x:c>
      <x:c r="H31" s="38" t="s">
        <x:v>606</x:v>
      </x:c>
      <x:c r="I31" s="38" t="s">
        <x:v>897</x:v>
      </x:c>
      <x:c r="J31" s="38" t="s">
        <x:v>274</x:v>
      </x:c>
      <x:c r="K31" s="38" t="s">
        <x:v>275</x:v>
      </x:c>
      <x:c r="L31" s="38" t="str">
        <x:f t="shared" si="0"/>
        <x:v>変更</x:v>
      </x:c>
    </x:row>
    <x:row r="32" ht="17.649999618530273" customHeight="1">
      <x:c r="A32" s="38">
        <x:v>31</x:v>
      </x:c>
      <x:c r="B32" s="38" t="s">
        <x:v>280</x:v>
      </x:c>
      <x:c r="C32" s="38" t="s">
        <x:v>283</x:v>
      </x:c>
      <x:c r="D32" s="38" t="s">
        <x:v>488</x:v>
      </x:c>
      <x:c r="E32" s="38" t="s">
        <x:v>848</x:v>
      </x:c>
      <x:c r="F32" s="38" t="s">
        <x:v>470</x:v>
      </x:c>
      <x:c r="G32" s="38" t="s">
        <x:v>168</x:v>
      </x:c>
      <x:c r="H32" s="38" t="s">
        <x:v>586</x:v>
      </x:c>
      <x:c r="I32" s="38" t="s">
        <x:v>898</x:v>
      </x:c>
      <x:c r="J32" s="38" t="s">
        <x:v>170</x:v>
      </x:c>
      <x:c r="K32" s="38" t="s">
        <x:v>171</x:v>
      </x:c>
      <x:c r="L32" s="38" t="str">
        <x:f t="shared" si="0"/>
        <x:v>変更</x:v>
      </x:c>
    </x:row>
    <x:row r="33" ht="17.649999618530273" customHeight="1">
      <x:c r="A33" s="38">
        <x:v>32</x:v>
      </x:c>
      <x:c r="B33" s="38" t="s">
        <x:v>284</x:v>
      </x:c>
      <x:c r="C33" s="38" t="s">
        <x:v>287</x:v>
      </x:c>
      <x:c r="D33" s="38" t="s">
        <x:v>489</x:v>
      </x:c>
      <x:c r="E33" s="38" t="s">
        <x:v>7</x:v>
      </x:c>
      <x:c r="F33" s="38" t="s">
        <x:v>488</x:v>
      </x:c>
      <x:c r="G33" s="38" t="s">
        <x:v>113</x:v>
      </x:c>
      <x:c r="H33" s="38" t="s">
        <x:v>607</x:v>
      </x:c>
      <x:c r="I33" s="38" t="s">
        <x:v>899</x:v>
      </x:c>
      <x:c r="J33" s="38" t="s">
        <x:v>115</x:v>
      </x:c>
      <x:c r="K33" s="38" t="s">
        <x:v>116</x:v>
      </x:c>
      <x:c r="L33" s="38" t="str">
        <x:f t="shared" si="0"/>
        <x:v>変更</x:v>
      </x:c>
    </x:row>
    <x:row r="34" ht="17.649999618530273" customHeight="1">
      <x:c r="A34" s="38">
        <x:v>33</x:v>
      </x:c>
      <x:c r="B34" s="38" t="s">
        <x:v>288</x:v>
      </x:c>
      <x:c r="C34" s="38" t="s">
        <x:v>290</x:v>
      </x:c>
      <x:c r="D34" s="38" t="s">
        <x:v>490</x:v>
      </x:c>
      <x:c r="E34" s="38" t="s">
        <x:v>851</x:v>
      </x:c>
      <x:c r="F34" s="38" t="s">
        <x:v>470</x:v>
      </x:c>
      <x:c r="G34" s="38" t="s">
        <x:v>168</x:v>
      </x:c>
      <x:c r="H34" s="38" t="s">
        <x:v>586</x:v>
      </x:c>
      <x:c r="I34" s="38" t="s">
        <x:v>900</x:v>
      </x:c>
      <x:c r="J34" s="38" t="s">
        <x:v>170</x:v>
      </x:c>
      <x:c r="K34" s="38" t="s">
        <x:v>171</x:v>
      </x:c>
      <x:c r="L34" s="38" t="str">
        <x:f t="shared" ref="L34:L65" si="1">IF(AND(D34=F34,E34=H34),"維持","変更")</x:f>
        <x:v>変更</x:v>
      </x:c>
    </x:row>
    <x:row r="35" ht="17.649999618530273" customHeight="1">
      <x:c r="A35" s="38">
        <x:v>34</x:v>
      </x:c>
      <x:c r="B35" s="38" t="s">
        <x:v>291</x:v>
      </x:c>
      <x:c r="C35" s="38" t="s">
        <x:v>293</x:v>
      </x:c>
      <x:c r="D35" s="38" t="s">
        <x:v>491</x:v>
      </x:c>
      <x:c r="E35" s="38" t="s">
        <x:v>853</x:v>
      </x:c>
      <x:c r="F35" s="38" t="s">
        <x:v>491</x:v>
      </x:c>
      <x:c r="G35" s="38" t="s">
        <x:v>200</x:v>
      </x:c>
      <x:c r="H35" s="38" t="s">
        <x:v>601</x:v>
      </x:c>
      <x:c r="I35" s="38" t="s">
        <x:v>901</x:v>
      </x:c>
      <x:c r="J35" s="38" t="s">
        <x:v>201</x:v>
      </x:c>
      <x:c r="K35" s="38" t="s">
        <x:v>202</x:v>
      </x:c>
      <x:c r="L35" s="38" t="str">
        <x:f t="shared" si="1"/>
        <x:v>変更</x:v>
      </x:c>
    </x:row>
    <x:row r="36" ht="17.649999618530273" customHeight="1">
      <x:c r="A36" s="38">
        <x:v>35</x:v>
      </x:c>
      <x:c r="B36" s="38" t="s">
        <x:v>294</x:v>
      </x:c>
      <x:c r="C36" s="38" t="s">
        <x:v>296</x:v>
      </x:c>
      <x:c r="D36" s="38" t="s">
        <x:v>492</x:v>
      </x:c>
      <x:c r="E36" s="38" t="s">
        <x:v>871</x:v>
      </x:c>
      <x:c r="F36" s="38" t="s">
        <x:v>490</x:v>
      </x:c>
      <x:c r="G36" s="38" t="s">
        <x:v>132</x:v>
      </x:c>
      <x:c r="H36" s="38" t="s">
        <x:v>608</x:v>
      </x:c>
      <x:c r="I36" s="38" t="s">
        <x:v>902</x:v>
      </x:c>
      <x:c r="J36" s="38" t="s">
        <x:v>134</x:v>
      </x:c>
      <x:c r="K36" s="38" t="s">
        <x:v>135</x:v>
      </x:c>
      <x:c r="L36" s="38" t="str">
        <x:f t="shared" si="1"/>
        <x:v>変更</x:v>
      </x:c>
    </x:row>
    <x:row r="37" ht="17.649999618530273" customHeight="1">
      <x:c r="A37" s="38">
        <x:v>36</x:v>
      </x:c>
      <x:c r="B37" s="38" t="s">
        <x:v>297</x:v>
      </x:c>
      <x:c r="C37" s="38" t="s">
        <x:v>300</x:v>
      </x:c>
      <x:c r="D37" s="38" t="s">
        <x:v>470</x:v>
      </x:c>
      <x:c r="E37" s="38" t="s">
        <x:v>888</x:v>
      </x:c>
      <x:c r="F37" s="38" t="s">
        <x:v>488</x:v>
      </x:c>
      <x:c r="G37" s="38" t="s">
        <x:v>113</x:v>
      </x:c>
      <x:c r="H37" s="38" t="s">
        <x:v>609</x:v>
      </x:c>
      <x:c r="I37" s="38" t="s">
        <x:v>903</x:v>
      </x:c>
      <x:c r="J37" s="38" t="s">
        <x:v>115</x:v>
      </x:c>
      <x:c r="K37" s="38" t="s">
        <x:v>116</x:v>
      </x:c>
      <x:c r="L37" s="38" t="str">
        <x:f t="shared" si="1"/>
        <x:v>変更</x:v>
      </x:c>
    </x:row>
    <x:row r="38" ht="17.649999618530273" customHeight="1">
      <x:c r="A38" s="38">
        <x:v>37</x:v>
      </x:c>
      <x:c r="B38" s="38" t="s">
        <x:v>301</x:v>
      </x:c>
      <x:c r="C38" s="38" t="s">
        <x:v>304</x:v>
      </x:c>
      <x:c r="D38" s="38" t="s">
        <x:v>493</x:v>
      </x:c>
      <x:c r="E38" s="38" t="s">
        <x:v>890</x:v>
      </x:c>
      <x:c r="F38" s="38" t="s">
        <x:v>489</x:v>
      </x:c>
      <x:c r="G38" s="38" t="s">
        <x:v>123</x:v>
      </x:c>
      <x:c r="H38" s="38" t="s">
        <x:v>585</x:v>
      </x:c>
      <x:c r="I38" s="38" t="s">
        <x:v>904</x:v>
      </x:c>
      <x:c r="J38" s="38" t="s">
        <x:v>125</x:v>
      </x:c>
      <x:c r="K38" s="38" t="s">
        <x:v>126</x:v>
      </x:c>
      <x:c r="L38" s="38" t="str">
        <x:f t="shared" si="1"/>
        <x:v>変更</x:v>
      </x:c>
    </x:row>
    <x:row r="39" ht="17.649999618530273" customHeight="1">
      <x:c r="A39" s="38">
        <x:v>38</x:v>
      </x:c>
      <x:c r="B39" s="38" t="s">
        <x:v>305</x:v>
      </x:c>
      <x:c r="C39" s="38" t="s">
        <x:v>308</x:v>
      </x:c>
      <x:c r="D39" s="38" t="s">
        <x:v>494</x:v>
      </x:c>
      <x:c r="E39" s="38" t="s">
        <x:v>892</x:v>
      </x:c>
      <x:c r="F39" s="38" t="s">
        <x:v>480</x:v>
      </x:c>
      <x:c r="G39" s="38" t="s">
        <x:v>226</x:v>
      </x:c>
      <x:c r="H39" s="38" t="s">
        <x:v>610</x:v>
      </x:c>
      <x:c r="I39" s="38" t="s">
        <x:v>905</x:v>
      </x:c>
      <x:c r="J39" s="38" t="s">
        <x:v>228</x:v>
      </x:c>
      <x:c r="K39" s="38" t="s">
        <x:v>229</x:v>
      </x:c>
      <x:c r="L39" s="38" t="str">
        <x:f t="shared" si="1"/>
        <x:v>変更</x:v>
      </x:c>
    </x:row>
    <x:row r="40" ht="17.649999618530273" customHeight="1">
      <x:c r="A40" s="38">
        <x:v>39</x:v>
      </x:c>
      <x:c r="B40" s="38" t="s">
        <x:v>309</x:v>
      </x:c>
      <x:c r="C40" s="38" t="s">
        <x:v>312</x:v>
      </x:c>
      <x:c r="D40" s="38" t="s">
        <x:v>495</x:v>
      </x:c>
      <x:c r="E40" s="38" t="s">
        <x:v>894</x:v>
      </x:c>
      <x:c r="F40" s="38" t="s">
        <x:v>490</x:v>
      </x:c>
      <x:c r="G40" s="38" t="s">
        <x:v>132</x:v>
      </x:c>
      <x:c r="H40" s="38" t="s">
        <x:v>611</x:v>
      </x:c>
      <x:c r="I40" s="38" t="s">
        <x:v>906</x:v>
      </x:c>
      <x:c r="J40" s="38" t="s">
        <x:v>134</x:v>
      </x:c>
      <x:c r="K40" s="38" t="s">
        <x:v>135</x:v>
      </x:c>
      <x:c r="L40" s="38" t="str">
        <x:f t="shared" si="1"/>
        <x:v>変更</x:v>
      </x:c>
    </x:row>
    <x:row r="41" ht="17.649999618530273" customHeight="1">
      <x:c r="A41" s="38">
        <x:v>40</x:v>
      </x:c>
      <x:c r="B41" s="38" t="s">
        <x:v>313</x:v>
      </x:c>
      <x:c r="C41" s="38" t="s">
        <x:v>316</x:v>
      </x:c>
      <x:c r="D41" s="38" t="s">
        <x:v>496</x:v>
      </x:c>
      <x:c r="E41" s="38" t="s">
        <x:v>896</x:v>
      </x:c>
      <x:c r="F41" s="38" t="s">
        <x:v>490</x:v>
      </x:c>
      <x:c r="G41" s="38" t="s">
        <x:v>132</x:v>
      </x:c>
      <x:c r="H41" s="38" t="s">
        <x:v>612</x:v>
      </x:c>
      <x:c r="I41" s="38" t="s">
        <x:v>907</x:v>
      </x:c>
      <x:c r="J41" s="38" t="s">
        <x:v>134</x:v>
      </x:c>
      <x:c r="K41" s="38" t="s">
        <x:v>135</x:v>
      </x:c>
      <x:c r="L41" s="38" t="str">
        <x:f t="shared" si="1"/>
        <x:v>変更</x:v>
      </x:c>
    </x:row>
    <x:row r="42" ht="17.649999618530273" customHeight="1">
      <x:c r="A42" s="38">
        <x:v>41</x:v>
      </x:c>
      <x:c r="B42" s="38" t="s">
        <x:v>317</x:v>
      </x:c>
      <x:c r="C42" s="38" t="s">
        <x:v>325</x:v>
      </x:c>
      <x:c r="D42" s="38" t="s">
        <x:v>488</x:v>
      </x:c>
      <x:c r="E42" s="38" t="s">
        <x:v>848</x:v>
      </x:c>
      <x:c r="F42" s="38" t="s">
        <x:v>497</x:v>
      </x:c>
      <x:c r="G42" s="38" t="s">
        <x:v>318</x:v>
      </x:c>
      <x:c r="H42" s="38" t="s">
        <x:v>613</x:v>
      </x:c>
      <x:c r="I42" s="38" t="s">
        <x:v>908</x:v>
      </x:c>
      <x:c r="J42" s="38" t="s">
        <x:v>320</x:v>
      </x:c>
      <x:c r="K42" s="38" t="s">
        <x:v>321</x:v>
      </x:c>
      <x:c r="L42" s="38" t="str">
        <x:f t="shared" si="1"/>
        <x:v>変更</x:v>
      </x:c>
    </x:row>
    <x:row r="43" ht="17.649999618530273" customHeight="1">
      <x:c r="A43" s="38">
        <x:v>42</x:v>
      </x:c>
      <x:c r="B43" s="38" t="s">
        <x:v>326</x:v>
      </x:c>
      <x:c r="C43" s="38" t="s">
        <x:v>328</x:v>
      </x:c>
      <x:c r="D43" s="38" t="s">
        <x:v>489</x:v>
      </x:c>
      <x:c r="E43" s="38" t="s">
        <x:v>7</x:v>
      </x:c>
      <x:c r="F43" s="38" t="s">
        <x:v>490</x:v>
      </x:c>
      <x:c r="G43" s="38" t="s">
        <x:v>132</x:v>
      </x:c>
      <x:c r="H43" s="38" t="s">
        <x:v>614</x:v>
      </x:c>
      <x:c r="I43" s="38" t="s">
        <x:v>909</x:v>
      </x:c>
      <x:c r="J43" s="38" t="s">
        <x:v>134</x:v>
      </x:c>
      <x:c r="K43" s="38" t="s">
        <x:v>135</x:v>
      </x:c>
      <x:c r="L43" s="38" t="str">
        <x:f t="shared" si="1"/>
        <x:v>変更</x:v>
      </x:c>
    </x:row>
    <x:row r="44" ht="17.649999618530273" customHeight="1">
      <x:c r="A44" s="38">
        <x:v>43</x:v>
      </x:c>
      <x:c r="B44" s="38" t="s">
        <x:v>329</x:v>
      </x:c>
      <x:c r="C44" s="38" t="s">
        <x:v>332</x:v>
      </x:c>
      <x:c r="D44" s="38" t="s">
        <x:v>490</x:v>
      </x:c>
      <x:c r="E44" s="38" t="s">
        <x:v>851</x:v>
      </x:c>
      <x:c r="F44" s="38" t="s">
        <x:v>488</x:v>
      </x:c>
      <x:c r="G44" s="38" t="s">
        <x:v>113</x:v>
      </x:c>
      <x:c r="H44" s="38" t="s">
        <x:v>607</x:v>
      </x:c>
      <x:c r="I44" s="38" t="s">
        <x:v>910</x:v>
      </x:c>
      <x:c r="J44" s="38" t="s">
        <x:v>115</x:v>
      </x:c>
      <x:c r="K44" s="38" t="s">
        <x:v>116</x:v>
      </x:c>
      <x:c r="L44" s="38" t="str">
        <x:f t="shared" si="1"/>
        <x:v>変更</x:v>
      </x:c>
    </x:row>
    <x:row r="45" ht="17.649999618530273" customHeight="1">
      <x:c r="A45" s="38">
        <x:v>44</x:v>
      </x:c>
      <x:c r="B45" s="38" t="s">
        <x:v>333</x:v>
      </x:c>
      <x:c r="C45" s="38" t="s">
        <x:v>335</x:v>
      </x:c>
      <x:c r="D45" s="38" t="s">
        <x:v>491</x:v>
      </x:c>
      <x:c r="E45" s="38" t="s">
        <x:v>911</x:v>
      </x:c>
      <x:c r="F45" s="38" t="s">
        <x:v>470</x:v>
      </x:c>
      <x:c r="G45" s="38" t="s">
        <x:v>168</x:v>
      </x:c>
      <x:c r="H45" s="38" t="s">
        <x:v>615</x:v>
      </x:c>
      <x:c r="I45" s="38" t="s">
        <x:v>912</x:v>
      </x:c>
      <x:c r="J45" s="38" t="s">
        <x:v>170</x:v>
      </x:c>
      <x:c r="K45" s="38" t="s">
        <x:v>171</x:v>
      </x:c>
      <x:c r="L45" s="38" t="str">
        <x:f t="shared" si="1"/>
        <x:v>変更</x:v>
      </x:c>
    </x:row>
    <x:row r="46" ht="17.649999618530273" customHeight="1">
      <x:c r="A46" s="38">
        <x:v>45</x:v>
      </x:c>
      <x:c r="B46" s="38" t="s">
        <x:v>336</x:v>
      </x:c>
      <x:c r="C46" s="38" t="s">
        <x:v>339</x:v>
      </x:c>
      <x:c r="D46" s="38" t="s">
        <x:v>492</x:v>
      </x:c>
      <x:c r="E46" s="38" t="s">
        <x:v>871</x:v>
      </x:c>
      <x:c r="F46" s="38" t="s">
        <x:v>497</x:v>
      </x:c>
      <x:c r="G46" s="38" t="s">
        <x:v>318</x:v>
      </x:c>
      <x:c r="H46" s="38" t="s">
        <x:v>616</x:v>
      </x:c>
      <x:c r="I46" s="38" t="s">
        <x:v>913</x:v>
      </x:c>
      <x:c r="J46" s="38" t="s">
        <x:v>320</x:v>
      </x:c>
      <x:c r="K46" s="38" t="s">
        <x:v>321</x:v>
      </x:c>
      <x:c r="L46" s="38" t="str">
        <x:f t="shared" si="1"/>
        <x:v>変更</x:v>
      </x:c>
    </x:row>
    <x:row r="47" ht="17.649999618530273" customHeight="1">
      <x:c r="A47" s="38">
        <x:v>46</x:v>
      </x:c>
      <x:c r="B47" s="38" t="s">
        <x:v>340</x:v>
      </x:c>
      <x:c r="C47" s="38" t="s">
        <x:v>343</x:v>
      </x:c>
      <x:c r="D47" s="38" t="s">
        <x:v>470</x:v>
      </x:c>
      <x:c r="E47" s="38" t="s">
        <x:v>888</x:v>
      </x:c>
      <x:c r="F47" s="38" t="s">
        <x:v>494</x:v>
      </x:c>
      <x:c r="G47" s="38" t="s">
        <x:v>260</x:v>
      </x:c>
      <x:c r="H47" s="38" t="s">
        <x:v>617</x:v>
      </x:c>
      <x:c r="I47" s="38" t="s">
        <x:v>914</x:v>
      </x:c>
      <x:c r="J47" s="38" t="s">
        <x:v>261</x:v>
      </x:c>
      <x:c r="K47" s="38" t="s">
        <x:v>262</x:v>
      </x:c>
      <x:c r="L47" s="38" t="str">
        <x:f t="shared" si="1"/>
        <x:v>変更</x:v>
      </x:c>
    </x:row>
    <x:row r="48" ht="17.649999618530273" customHeight="1">
      <x:c r="A48" s="38">
        <x:v>47</x:v>
      </x:c>
      <x:c r="B48" s="38" t="s">
        <x:v>344</x:v>
      </x:c>
      <x:c r="C48" s="38" t="s">
        <x:v>347</x:v>
      </x:c>
      <x:c r="D48" s="38" t="s">
        <x:v>493</x:v>
      </x:c>
      <x:c r="E48" s="38" t="s">
        <x:v>890</x:v>
      </x:c>
      <x:c r="F48" s="38" t="s">
        <x:v>488</x:v>
      </x:c>
      <x:c r="G48" s="38" t="s">
        <x:v>113</x:v>
      </x:c>
      <x:c r="H48" s="38" t="s">
        <x:v>609</x:v>
      </x:c>
      <x:c r="I48" s="38" t="s">
        <x:v>915</x:v>
      </x:c>
      <x:c r="J48" s="38" t="s">
        <x:v>115</x:v>
      </x:c>
      <x:c r="K48" s="38" t="s">
        <x:v>116</x:v>
      </x:c>
      <x:c r="L48" s="38" t="str">
        <x:f t="shared" si="1"/>
        <x:v>変更</x:v>
      </x:c>
    </x:row>
    <x:row r="49" ht="17.649999618530273" customHeight="1">
      <x:c r="A49" s="38">
        <x:v>48</x:v>
      </x:c>
      <x:c r="B49" s="38" t="s">
        <x:v>348</x:v>
      </x:c>
      <x:c r="C49" s="38" t="s">
        <x:v>350</x:v>
      </x:c>
      <x:c r="D49" s="38" t="s">
        <x:v>494</x:v>
      </x:c>
      <x:c r="E49" s="38" t="s">
        <x:v>892</x:v>
      </x:c>
      <x:c r="F49" s="38" t="s">
        <x:v>490</x:v>
      </x:c>
      <x:c r="G49" s="38" t="s">
        <x:v>132</x:v>
      </x:c>
      <x:c r="H49" s="38" t="s">
        <x:v>618</x:v>
      </x:c>
      <x:c r="I49" s="38" t="s">
        <x:v>916</x:v>
      </x:c>
      <x:c r="J49" s="38" t="s">
        <x:v>134</x:v>
      </x:c>
      <x:c r="K49" s="38" t="s">
        <x:v>135</x:v>
      </x:c>
      <x:c r="L49" s="38" t="str">
        <x:f t="shared" si="1"/>
        <x:v>変更</x:v>
      </x:c>
    </x:row>
    <x:row r="50" ht="17.649999618530273" customHeight="1">
      <x:c r="A50" s="38">
        <x:v>49</x:v>
      </x:c>
      <x:c r="B50" s="38" t="s">
        <x:v>351</x:v>
      </x:c>
      <x:c r="C50" s="38" t="s">
        <x:v>354</x:v>
      </x:c>
      <x:c r="D50" s="38" t="s">
        <x:v>495</x:v>
      </x:c>
      <x:c r="E50" s="38" t="s">
        <x:v>894</x:v>
      </x:c>
      <x:c r="F50" s="38" t="s">
        <x:v>489</x:v>
      </x:c>
      <x:c r="G50" s="38" t="s">
        <x:v>123</x:v>
      </x:c>
      <x:c r="H50" s="38" t="s">
        <x:v>619</x:v>
      </x:c>
      <x:c r="I50" s="38" t="s">
        <x:v>917</x:v>
      </x:c>
      <x:c r="J50" s="38" t="s">
        <x:v>125</x:v>
      </x:c>
      <x:c r="K50" s="38" t="s">
        <x:v>126</x:v>
      </x:c>
      <x:c r="L50" s="38" t="str">
        <x:f t="shared" si="1"/>
        <x:v>変更</x:v>
      </x:c>
    </x:row>
    <x:row r="51" ht="17.649999618530273" customHeight="1">
      <x:c r="A51" s="38">
        <x:v>50</x:v>
      </x:c>
      <x:c r="B51" s="38" t="s">
        <x:v>355</x:v>
      </x:c>
      <x:c r="C51" s="38" t="s">
        <x:v>357</x:v>
      </x:c>
      <x:c r="D51" s="38" t="s">
        <x:v>496</x:v>
      </x:c>
      <x:c r="E51" s="38" t="s">
        <x:v>896</x:v>
      </x:c>
      <x:c r="F51" s="38" t="s">
        <x:v>488</x:v>
      </x:c>
      <x:c r="G51" s="38" t="s">
        <x:v>113</x:v>
      </x:c>
      <x:c r="H51" s="38" t="s">
        <x:v>609</x:v>
      </x:c>
      <x:c r="I51" s="38" t="s">
        <x:v>918</x:v>
      </x:c>
      <x:c r="J51" s="38" t="s">
        <x:v>115</x:v>
      </x:c>
      <x:c r="K51" s="38" t="s">
        <x:v>116</x:v>
      </x:c>
      <x:c r="L51" s="38" t="str">
        <x:f t="shared" si="1"/>
        <x:v>変更</x:v>
      </x:c>
    </x:row>
    <x:row r="52" ht="17.649999618530273" customHeight="1">
      <x:c r="A52" s="38">
        <x:v>51</x:v>
      </x:c>
      <x:c r="B52" s="38" t="s">
        <x:v>358</x:v>
      </x:c>
      <x:c r="C52" s="38" t="s">
        <x:v>360</x:v>
      </x:c>
      <x:c r="D52" s="38" t="s">
        <x:v>488</x:v>
      </x:c>
      <x:c r="E52" s="38" t="s">
        <x:v>848</x:v>
      </x:c>
      <x:c r="F52" s="38" t="s">
        <x:v>497</x:v>
      </x:c>
      <x:c r="G52" s="38" t="s">
        <x:v>318</x:v>
      </x:c>
      <x:c r="H52" s="38" t="s">
        <x:v>620</x:v>
      </x:c>
      <x:c r="I52" s="38" t="s">
        <x:v>919</x:v>
      </x:c>
      <x:c r="J52" s="38" t="s">
        <x:v>320</x:v>
      </x:c>
      <x:c r="K52" s="38" t="s">
        <x:v>321</x:v>
      </x:c>
      <x:c r="L52" s="38" t="str">
        <x:f t="shared" si="1"/>
        <x:v>変更</x:v>
      </x:c>
    </x:row>
    <x:row r="53" ht="17.649999618530273" customHeight="1">
      <x:c r="A53" s="38">
        <x:v>52</x:v>
      </x:c>
      <x:c r="B53" s="38" t="s">
        <x:v>361</x:v>
      </x:c>
      <x:c r="C53" s="38" t="s">
        <x:v>363</x:v>
      </x:c>
      <x:c r="D53" s="38" t="s">
        <x:v>489</x:v>
      </x:c>
      <x:c r="E53" s="38" t="s">
        <x:v>7</x:v>
      </x:c>
      <x:c r="F53" s="38" t="s">
        <x:v>470</x:v>
      </x:c>
      <x:c r="G53" s="38" t="s">
        <x:v>168</x:v>
      </x:c>
      <x:c r="H53" s="38" t="s">
        <x:v>615</x:v>
      </x:c>
      <x:c r="I53" s="38" t="s">
        <x:v>920</x:v>
      </x:c>
      <x:c r="J53" s="38" t="s">
        <x:v>170</x:v>
      </x:c>
      <x:c r="K53" s="38" t="s">
        <x:v>171</x:v>
      </x:c>
      <x:c r="L53" s="38" t="str">
        <x:f t="shared" si="1"/>
        <x:v>変更</x:v>
      </x:c>
    </x:row>
    <x:row r="54" ht="17.649999618530273" customHeight="1">
      <x:c r="A54" s="38">
        <x:v>53</x:v>
      </x:c>
      <x:c r="B54" s="38" t="s">
        <x:v>364</x:v>
      </x:c>
      <x:c r="C54" s="38" t="s">
        <x:v>367</x:v>
      </x:c>
      <x:c r="D54" s="38" t="s">
        <x:v>490</x:v>
      </x:c>
      <x:c r="E54" s="38" t="s">
        <x:v>851</x:v>
      </x:c>
      <x:c r="F54" s="38" t="s">
        <x:v>489</x:v>
      </x:c>
      <x:c r="G54" s="38" t="s">
        <x:v>123</x:v>
      </x:c>
      <x:c r="H54" s="38" t="s">
        <x:v>585</x:v>
      </x:c>
      <x:c r="I54" s="38" t="s">
        <x:v>921</x:v>
      </x:c>
      <x:c r="J54" s="38" t="s">
        <x:v>125</x:v>
      </x:c>
      <x:c r="K54" s="38" t="s">
        <x:v>126</x:v>
      </x:c>
      <x:c r="L54" s="38" t="str">
        <x:f t="shared" si="1"/>
        <x:v>変更</x:v>
      </x:c>
    </x:row>
    <x:row r="55" ht="17.649999618530273" customHeight="1">
      <x:c r="A55" s="38">
        <x:v>54</x:v>
      </x:c>
      <x:c r="B55" s="38" t="s">
        <x:v>368</x:v>
      </x:c>
      <x:c r="C55" s="38" t="s">
        <x:v>371</x:v>
      </x:c>
      <x:c r="D55" s="38" t="s">
        <x:v>491</x:v>
      </x:c>
      <x:c r="E55" s="38" t="s">
        <x:v>885</x:v>
      </x:c>
      <x:c r="F55" s="38" t="s">
        <x:v>490</x:v>
      </x:c>
      <x:c r="G55" s="38" t="s">
        <x:v>132</x:v>
      </x:c>
      <x:c r="H55" s="38" t="s">
        <x:v>614</x:v>
      </x:c>
      <x:c r="I55" s="38" t="s">
        <x:v>922</x:v>
      </x:c>
      <x:c r="J55" s="38" t="s">
        <x:v>134</x:v>
      </x:c>
      <x:c r="K55" s="38" t="s">
        <x:v>135</x:v>
      </x:c>
      <x:c r="L55" s="38" t="str">
        <x:f t="shared" si="1"/>
        <x:v>変更</x:v>
      </x:c>
    </x:row>
    <x:row r="56" ht="17.649999618530273" customHeight="1">
      <x:c r="A56" s="38">
        <x:v>55</x:v>
      </x:c>
      <x:c r="B56" s="38" t="s">
        <x:v>372</x:v>
      </x:c>
      <x:c r="C56" s="38" t="s">
        <x:v>380</x:v>
      </x:c>
      <x:c r="D56" s="38" t="s">
        <x:v>492</x:v>
      </x:c>
      <x:c r="E56" s="38" t="s">
        <x:v>871</x:v>
      </x:c>
      <x:c r="F56" s="38" t="s">
        <x:v>475</x:v>
      </x:c>
      <x:c r="G56" s="38" t="s">
        <x:v>373</x:v>
      </x:c>
      <x:c r="H56" s="38" t="s">
        <x:v>621</x:v>
      </x:c>
      <x:c r="I56" s="38" t="s">
        <x:v>923</x:v>
      </x:c>
      <x:c r="J56" s="38" t="s">
        <x:v>375</x:v>
      </x:c>
      <x:c r="K56" s="38" t="s">
        <x:v>376</x:v>
      </x:c>
      <x:c r="L56" s="38" t="str">
        <x:f t="shared" si="1"/>
        <x:v>変更</x:v>
      </x:c>
    </x:row>
    <x:row r="57" ht="17.649999618530273" customHeight="1">
      <x:c r="A57" s="38">
        <x:v>56</x:v>
      </x:c>
      <x:c r="B57" s="38" t="s">
        <x:v>381</x:v>
      </x:c>
      <x:c r="C57" s="38" t="s">
        <x:v>383</x:v>
      </x:c>
      <x:c r="D57" s="38" t="s">
        <x:v>470</x:v>
      </x:c>
      <x:c r="E57" s="38" t="s">
        <x:v>888</x:v>
      </x:c>
      <x:c r="F57" s="38" t="s">
        <x:v>490</x:v>
      </x:c>
      <x:c r="G57" s="38" t="s">
        <x:v>132</x:v>
      </x:c>
      <x:c r="H57" s="38" t="s">
        <x:v>614</x:v>
      </x:c>
      <x:c r="I57" s="38" t="s">
        <x:v>924</x:v>
      </x:c>
      <x:c r="J57" s="38" t="s">
        <x:v>134</x:v>
      </x:c>
      <x:c r="K57" s="38" t="s">
        <x:v>135</x:v>
      </x:c>
      <x:c r="L57" s="38" t="str">
        <x:f t="shared" si="1"/>
        <x:v>変更</x:v>
      </x:c>
    </x:row>
    <x:row r="58" ht="17.649999618530273" customHeight="1">
      <x:c r="A58" s="38">
        <x:v>57</x:v>
      </x:c>
      <x:c r="B58" s="38" t="s">
        <x:v>384</x:v>
      </x:c>
      <x:c r="C58" s="38" t="s">
        <x:v>387</x:v>
      </x:c>
      <x:c r="D58" s="38" t="s">
        <x:v>493</x:v>
      </x:c>
      <x:c r="E58" s="38" t="s">
        <x:v>890</x:v>
      </x:c>
      <x:c r="F58" s="38" t="s">
        <x:v>493</x:v>
      </x:c>
      <x:c r="G58" s="38" t="s">
        <x:v>141</x:v>
      </x:c>
      <x:c r="H58" s="38" t="s">
        <x:v>622</x:v>
      </x:c>
      <x:c r="I58" s="38" t="s">
        <x:v>925</x:v>
      </x:c>
      <x:c r="J58" s="38" t="s">
        <x:v>143</x:v>
      </x:c>
      <x:c r="K58" s="38" t="s">
        <x:v>144</x:v>
      </x:c>
      <x:c r="L58" s="38" t="str">
        <x:f t="shared" si="1"/>
        <x:v>変更</x:v>
      </x:c>
    </x:row>
    <x:row r="59" ht="17.649999618530273" customHeight="1">
      <x:c r="A59" s="38">
        <x:v>58</x:v>
      </x:c>
      <x:c r="B59" s="38" t="s">
        <x:v>388</x:v>
      </x:c>
      <x:c r="C59" s="38" t="s">
        <x:v>391</x:v>
      </x:c>
      <x:c r="D59" s="38" t="s">
        <x:v>494</x:v>
      </x:c>
      <x:c r="E59" s="38" t="s">
        <x:v>892</x:v>
      </x:c>
      <x:c r="F59" s="38" t="s">
        <x:v>480</x:v>
      </x:c>
      <x:c r="G59" s="38" t="s">
        <x:v>226</x:v>
      </x:c>
      <x:c r="H59" s="38" t="s">
        <x:v>623</x:v>
      </x:c>
      <x:c r="I59" s="38" t="s">
        <x:v>926</x:v>
      </x:c>
      <x:c r="J59" s="38" t="s">
        <x:v>228</x:v>
      </x:c>
      <x:c r="K59" s="38" t="s">
        <x:v>229</x:v>
      </x:c>
      <x:c r="L59" s="38" t="str">
        <x:f t="shared" si="1"/>
        <x:v>変更</x:v>
      </x:c>
    </x:row>
    <x:row r="60" ht="17.649999618530273" customHeight="1">
      <x:c r="A60" s="38">
        <x:v>59</x:v>
      </x:c>
      <x:c r="B60" s="38" t="s">
        <x:v>392</x:v>
      </x:c>
      <x:c r="C60" s="38" t="s">
        <x:v>395</x:v>
      </x:c>
      <x:c r="D60" s="38" t="s">
        <x:v>495</x:v>
      </x:c>
      <x:c r="E60" s="38" t="s">
        <x:v>894</x:v>
      </x:c>
      <x:c r="F60" s="38" t="s">
        <x:v>491</x:v>
      </x:c>
      <x:c r="G60" s="38" t="s">
        <x:v>200</x:v>
      </x:c>
      <x:c r="H60" s="38" t="s">
        <x:v>624</x:v>
      </x:c>
      <x:c r="I60" s="38" t="s">
        <x:v>927</x:v>
      </x:c>
      <x:c r="J60" s="38" t="s">
        <x:v>201</x:v>
      </x:c>
      <x:c r="K60" s="38" t="s">
        <x:v>202</x:v>
      </x:c>
      <x:c r="L60" s="38" t="str">
        <x:f t="shared" si="1"/>
        <x:v>変更</x:v>
      </x:c>
    </x:row>
    <x:row r="61" ht="17.649999618530273" customHeight="1">
      <x:c r="A61" s="38">
        <x:v>60</x:v>
      </x:c>
      <x:c r="B61" s="38" t="s">
        <x:v>396</x:v>
      </x:c>
      <x:c r="C61" s="38" t="s">
        <x:v>399</x:v>
      </x:c>
      <x:c r="D61" s="38" t="s">
        <x:v>496</x:v>
      </x:c>
      <x:c r="E61" s="38" t="s">
        <x:v>896</x:v>
      </x:c>
      <x:c r="F61" s="38" t="s">
        <x:v>497</x:v>
      </x:c>
      <x:c r="G61" s="38" t="s">
        <x:v>318</x:v>
      </x:c>
      <x:c r="H61" s="38" t="s">
        <x:v>625</x:v>
      </x:c>
      <x:c r="I61" s="38" t="s">
        <x:v>928</x:v>
      </x:c>
      <x:c r="J61" s="38" t="s">
        <x:v>320</x:v>
      </x:c>
      <x:c r="K61" s="38" t="s">
        <x:v>321</x:v>
      </x:c>
      <x:c r="L61" s="38" t="str">
        <x:f t="shared" si="1"/>
        <x:v>変更</x:v>
      </x:c>
    </x:row>
    <x:row r="62" ht="17.649999618530273" customHeight="1">
      <x:c r="A62" s="38">
        <x:v>61</x:v>
      </x:c>
      <x:c r="B62" s="38" t="s">
        <x:v>626</x:v>
      </x:c>
      <x:c r="C62" s="38" t="s">
        <x:v>401</x:v>
      </x:c>
      <x:c r="D62" s="38" t="s">
        <x:v>488</x:v>
      </x:c>
      <x:c r="E62" s="38" t="s">
        <x:v>848</x:v>
      </x:c>
      <x:c r="F62" s="38" t="s">
        <x:v>488</x:v>
      </x:c>
      <x:c r="G62" s="38" t="s">
        <x:v>113</x:v>
      </x:c>
      <x:c r="H62" s="38" t="s">
        <x:v>609</x:v>
      </x:c>
      <x:c r="I62" s="38" t="s">
        <x:v>929</x:v>
      </x:c>
      <x:c r="J62" s="38" t="s">
        <x:v>115</x:v>
      </x:c>
      <x:c r="K62" s="38" t="s">
        <x:v>116</x:v>
      </x:c>
      <x:c r="L62" s="38" t="str">
        <x:f t="shared" si="1"/>
        <x:v>変更</x:v>
      </x:c>
    </x:row>
    <x:row r="63" ht="17.649999618530273" customHeight="1">
      <x:c r="A63" s="38">
        <x:v>62</x:v>
      </x:c>
      <x:c r="B63" s="38" t="s">
        <x:v>627</x:v>
      </x:c>
      <x:c r="C63" s="38" t="s">
        <x:v>403</x:v>
      </x:c>
      <x:c r="D63" s="38" t="s">
        <x:v>489</x:v>
      </x:c>
      <x:c r="E63" s="38" t="s">
        <x:v>7</x:v>
      </x:c>
      <x:c r="F63" s="38" t="s">
        <x:v>489</x:v>
      </x:c>
      <x:c r="G63" s="38" t="s">
        <x:v>123</x:v>
      </x:c>
      <x:c r="H63" s="38" t="s">
        <x:v>585</x:v>
      </x:c>
      <x:c r="I63" s="38" t="s">
        <x:v>930</x:v>
      </x:c>
      <x:c r="J63" s="38" t="s">
        <x:v>125</x:v>
      </x:c>
      <x:c r="K63" s="38" t="s">
        <x:v>126</x:v>
      </x:c>
      <x:c r="L63" s="38" t="str">
        <x:f t="shared" si="1"/>
        <x:v>変更</x:v>
      </x:c>
    </x:row>
    <x:row r="64" ht="17.649999618530273" customHeight="1">
      <x:c r="A64" s="38">
        <x:v>63</x:v>
      </x:c>
      <x:c r="B64" s="38" t="s">
        <x:v>628</x:v>
      </x:c>
      <x:c r="C64" s="38" t="s">
        <x:v>405</x:v>
      </x:c>
      <x:c r="D64" s="38" t="s">
        <x:v>490</x:v>
      </x:c>
      <x:c r="E64" s="38" t="s">
        <x:v>851</x:v>
      </x:c>
      <x:c r="F64" s="38" t="s">
        <x:v>490</x:v>
      </x:c>
      <x:c r="G64" s="38" t="s">
        <x:v>132</x:v>
      </x:c>
      <x:c r="H64" s="38" t="s">
        <x:v>614</x:v>
      </x:c>
      <x:c r="I64" s="38" t="s">
        <x:v>931</x:v>
      </x:c>
      <x:c r="J64" s="38" t="s">
        <x:v>134</x:v>
      </x:c>
      <x:c r="K64" s="38" t="s">
        <x:v>135</x:v>
      </x:c>
      <x:c r="L64" s="38" t="str">
        <x:f t="shared" si="1"/>
        <x:v>変更</x:v>
      </x:c>
    </x:row>
    <x:row r="65" ht="17.649999618530273" customHeight="1">
      <x:c r="A65" s="38">
        <x:v>64</x:v>
      </x:c>
      <x:c r="B65" s="38" t="s">
        <x:v>629</x:v>
      </x:c>
      <x:c r="C65" s="38" t="s">
        <x:v>407</x:v>
      </x:c>
      <x:c r="D65" s="38" t="s">
        <x:v>491</x:v>
      </x:c>
      <x:c r="E65" s="38" t="s">
        <x:v>853</x:v>
      </x:c>
      <x:c r="F65" s="38" t="s">
        <x:v>475</x:v>
      </x:c>
      <x:c r="G65" s="38" t="s">
        <x:v>373</x:v>
      </x:c>
      <x:c r="H65" s="38" t="s">
        <x:v>630</x:v>
      </x:c>
      <x:c r="I65" s="38" t="s">
        <x:v>932</x:v>
      </x:c>
      <x:c r="J65" s="38" t="s">
        <x:v>375</x:v>
      </x:c>
      <x:c r="K65" s="38" t="s">
        <x:v>376</x:v>
      </x:c>
      <x:c r="L65" s="38" t="str">
        <x:f t="shared" si="1"/>
        <x:v>変更</x:v>
      </x:c>
    </x:row>
    <x:row r="66" ht="17.649999618530273" customHeight="1">
      <x:c r="A66" s="38">
        <x:v>65</x:v>
      </x:c>
      <x:c r="B66" s="38" t="s">
        <x:v>631</x:v>
      </x:c>
      <x:c r="C66" s="38" t="s">
        <x:v>410</x:v>
      </x:c>
      <x:c r="D66" s="38" t="s">
        <x:v>492</x:v>
      </x:c>
      <x:c r="E66" s="38" t="s">
        <x:v>871</x:v>
      </x:c>
      <x:c r="F66" s="38" t="s">
        <x:v>497</x:v>
      </x:c>
      <x:c r="G66" s="38" t="s">
        <x:v>318</x:v>
      </x:c>
      <x:c r="H66" s="38" t="s">
        <x:v>632</x:v>
      </x:c>
      <x:c r="I66" s="38" t="s">
        <x:v>933</x:v>
      </x:c>
      <x:c r="J66" s="38" t="s">
        <x:v>320</x:v>
      </x:c>
      <x:c r="K66" s="38" t="s">
        <x:v>321</x:v>
      </x:c>
      <x:c r="L66" s="38" t="str">
        <x:f t="shared" ref="L66:L91" si="2">IF(AND(D66=F66,E66=H66),"維持","変更")</x:f>
        <x:v>変更</x:v>
      </x:c>
    </x:row>
    <x:row r="67" ht="17.649999618530273" customHeight="1">
      <x:c r="A67" s="38">
        <x:v>66</x:v>
      </x:c>
      <x:c r="B67" s="38" t="s">
        <x:v>633</x:v>
      </x:c>
      <x:c r="C67" s="38" t="s">
        <x:v>412</x:v>
      </x:c>
      <x:c r="D67" s="38" t="s">
        <x:v>470</x:v>
      </x:c>
      <x:c r="E67" s="38" t="s">
        <x:v>888</x:v>
      </x:c>
      <x:c r="F67" s="38" t="s">
        <x:v>475</x:v>
      </x:c>
      <x:c r="G67" s="38" t="s">
        <x:v>373</x:v>
      </x:c>
      <x:c r="H67" s="38" t="s">
        <x:v>634</x:v>
      </x:c>
      <x:c r="I67" s="38" t="s">
        <x:v>934</x:v>
      </x:c>
      <x:c r="J67" s="38" t="s">
        <x:v>375</x:v>
      </x:c>
      <x:c r="K67" s="38" t="s">
        <x:v>376</x:v>
      </x:c>
      <x:c r="L67" s="38" t="str">
        <x:f t="shared" si="2"/>
        <x:v>変更</x:v>
      </x:c>
    </x:row>
    <x:row r="68" ht="17.649999618530273" customHeight="1">
      <x:c r="A68" s="38">
        <x:v>67</x:v>
      </x:c>
      <x:c r="B68" s="38" t="s">
        <x:v>635</x:v>
      </x:c>
      <x:c r="C68" s="38" t="s">
        <x:v>414</x:v>
      </x:c>
      <x:c r="D68" s="38" t="s">
        <x:v>493</x:v>
      </x:c>
      <x:c r="E68" s="38" t="s">
        <x:v>890</x:v>
      </x:c>
      <x:c r="F68" s="38" t="s">
        <x:v>490</x:v>
      </x:c>
      <x:c r="G68" s="38" t="s">
        <x:v>132</x:v>
      </x:c>
      <x:c r="H68" s="38" t="s">
        <x:v>608</x:v>
      </x:c>
      <x:c r="I68" s="38" t="s">
        <x:v>935</x:v>
      </x:c>
      <x:c r="J68" s="38" t="s">
        <x:v>134</x:v>
      </x:c>
      <x:c r="K68" s="38" t="s">
        <x:v>135</x:v>
      </x:c>
      <x:c r="L68" s="38" t="str">
        <x:f t="shared" si="2"/>
        <x:v>変更</x:v>
      </x:c>
    </x:row>
    <x:row r="69" ht="17.649999618530273" customHeight="1">
      <x:c r="A69" s="38">
        <x:v>68</x:v>
      </x:c>
      <x:c r="B69" s="38" t="s">
        <x:v>636</x:v>
      </x:c>
      <x:c r="C69" s="38" t="s">
        <x:v>416</x:v>
      </x:c>
      <x:c r="D69" s="38" t="s">
        <x:v>494</x:v>
      </x:c>
      <x:c r="E69" s="38" t="s">
        <x:v>892</x:v>
      </x:c>
      <x:c r="F69" s="38" t="s">
        <x:v>475</x:v>
      </x:c>
      <x:c r="G69" s="38" t="s">
        <x:v>373</x:v>
      </x:c>
      <x:c r="H69" s="38" t="s">
        <x:v>637</x:v>
      </x:c>
      <x:c r="I69" s="38" t="s">
        <x:v>936</x:v>
      </x:c>
      <x:c r="J69" s="38" t="s">
        <x:v>375</x:v>
      </x:c>
      <x:c r="K69" s="38" t="s">
        <x:v>376</x:v>
      </x:c>
      <x:c r="L69" s="38" t="str">
        <x:f t="shared" si="2"/>
        <x:v>変更</x:v>
      </x:c>
    </x:row>
    <x:row r="70" ht="17.649999618530273" customHeight="1">
      <x:c r="A70" s="38">
        <x:v>69</x:v>
      </x:c>
      <x:c r="B70" s="38" t="s">
        <x:v>638</x:v>
      </x:c>
      <x:c r="C70" s="38" t="s">
        <x:v>418</x:v>
      </x:c>
      <x:c r="D70" s="38" t="s">
        <x:v>495</x:v>
      </x:c>
      <x:c r="E70" s="38" t="s">
        <x:v>894</x:v>
      </x:c>
      <x:c r="F70" s="38" t="s">
        <x:v>493</x:v>
      </x:c>
      <x:c r="G70" s="38" t="s">
        <x:v>141</x:v>
      </x:c>
      <x:c r="H70" s="38" t="s">
        <x:v>639</x:v>
      </x:c>
      <x:c r="I70" s="38" t="s">
        <x:v>937</x:v>
      </x:c>
      <x:c r="J70" s="38" t="s">
        <x:v>143</x:v>
      </x:c>
      <x:c r="K70" s="38" t="s">
        <x:v>144</x:v>
      </x:c>
      <x:c r="L70" s="38" t="str">
        <x:f t="shared" si="2"/>
        <x:v>変更</x:v>
      </x:c>
    </x:row>
    <x:row r="71" ht="17.649999618530273" customHeight="1">
      <x:c r="A71" s="38">
        <x:v>70</x:v>
      </x:c>
      <x:c r="B71" s="38" t="s">
        <x:v>640</x:v>
      </x:c>
      <x:c r="C71" s="38" t="s">
        <x:v>421</x:v>
      </x:c>
      <x:c r="D71" s="38" t="s">
        <x:v>496</x:v>
      </x:c>
      <x:c r="E71" s="38" t="s">
        <x:v>896</x:v>
      </x:c>
      <x:c r="F71" s="38" t="s">
        <x:v>492</x:v>
      </x:c>
      <x:c r="G71" s="38" t="s">
        <x:v>158</x:v>
      </x:c>
      <x:c r="H71" s="38" t="s">
        <x:v>641</x:v>
      </x:c>
      <x:c r="I71" s="38" t="s">
        <x:v>938</x:v>
      </x:c>
      <x:c r="J71" s="38" t="s">
        <x:v>160</x:v>
      </x:c>
      <x:c r="K71" s="38" t="s">
        <x:v>161</x:v>
      </x:c>
      <x:c r="L71" s="38" t="str">
        <x:f t="shared" si="2"/>
        <x:v>変更</x:v>
      </x:c>
    </x:row>
    <x:row r="72" ht="17.649999618530273" customHeight="1">
      <x:c r="A72" s="38">
        <x:v>71</x:v>
      </x:c>
      <x:c r="B72" s="38" t="s">
        <x:v>642</x:v>
      </x:c>
      <x:c r="C72" s="38" t="s">
        <x:v>424</x:v>
      </x:c>
      <x:c r="D72" s="38" t="s">
        <x:v>488</x:v>
      </x:c>
      <x:c r="E72" s="38" t="s">
        <x:v>848</x:v>
      </x:c>
      <x:c r="F72" s="38" t="s">
        <x:v>490</x:v>
      </x:c>
      <x:c r="G72" s="38" t="s">
        <x:v>132</x:v>
      </x:c>
      <x:c r="H72" s="38" t="s">
        <x:v>614</x:v>
      </x:c>
      <x:c r="I72" s="38" t="s">
        <x:v>939</x:v>
      </x:c>
      <x:c r="J72" s="38" t="s">
        <x:v>134</x:v>
      </x:c>
      <x:c r="K72" s="38" t="s">
        <x:v>135</x:v>
      </x:c>
      <x:c r="L72" s="38" t="str">
        <x:f t="shared" si="2"/>
        <x:v>変更</x:v>
      </x:c>
    </x:row>
    <x:row r="73" ht="17.649999618530273" customHeight="1">
      <x:c r="A73" s="38">
        <x:v>72</x:v>
      </x:c>
      <x:c r="B73" s="38" t="s">
        <x:v>643</x:v>
      </x:c>
      <x:c r="C73" s="38" t="s">
        <x:v>426</x:v>
      </x:c>
      <x:c r="D73" s="38" t="s">
        <x:v>489</x:v>
      </x:c>
      <x:c r="E73" s="38" t="s">
        <x:v>7</x:v>
      </x:c>
      <x:c r="F73" s="38" t="s">
        <x:v>488</x:v>
      </x:c>
      <x:c r="G73" s="38" t="s">
        <x:v>113</x:v>
      </x:c>
      <x:c r="H73" s="38" t="s">
        <x:v>584</x:v>
      </x:c>
      <x:c r="I73" s="38" t="s">
        <x:v>940</x:v>
      </x:c>
      <x:c r="J73" s="38" t="s">
        <x:v>115</x:v>
      </x:c>
      <x:c r="K73" s="38" t="s">
        <x:v>116</x:v>
      </x:c>
      <x:c r="L73" s="38" t="str">
        <x:f t="shared" si="2"/>
        <x:v>変更</x:v>
      </x:c>
    </x:row>
    <x:row r="74" ht="17.649999618530273" customHeight="1">
      <x:c r="A74" s="38">
        <x:v>73</x:v>
      </x:c>
      <x:c r="B74" s="38" t="s">
        <x:v>644</x:v>
      </x:c>
      <x:c r="C74" s="38" t="s">
        <x:v>429</x:v>
      </x:c>
      <x:c r="D74" s="38" t="s">
        <x:v>490</x:v>
      </x:c>
      <x:c r="E74" s="38" t="s">
        <x:v>851</x:v>
      </x:c>
      <x:c r="F74" s="38" t="s">
        <x:v>488</x:v>
      </x:c>
      <x:c r="G74" s="38" t="s">
        <x:v>113</x:v>
      </x:c>
      <x:c r="H74" s="38" t="s">
        <x:v>645</x:v>
      </x:c>
      <x:c r="I74" s="38" t="s">
        <x:v>941</x:v>
      </x:c>
      <x:c r="J74" s="38" t="s">
        <x:v>115</x:v>
      </x:c>
      <x:c r="K74" s="38" t="s">
        <x:v>116</x:v>
      </x:c>
      <x:c r="L74" s="38" t="str">
        <x:f t="shared" si="2"/>
        <x:v>変更</x:v>
      </x:c>
    </x:row>
    <x:row r="75" ht="17.649999618530273" customHeight="1">
      <x:c r="A75" s="38">
        <x:v>74</x:v>
      </x:c>
      <x:c r="B75" s="38" t="s">
        <x:v>646</x:v>
      </x:c>
      <x:c r="C75" s="38" t="s">
        <x:v>431</x:v>
      </x:c>
      <x:c r="D75" s="38" t="s">
        <x:v>491</x:v>
      </x:c>
      <x:c r="E75" s="38" t="s">
        <x:v>911</x:v>
      </x:c>
      <x:c r="F75" s="38" t="s">
        <x:v>491</x:v>
      </x:c>
      <x:c r="G75" s="38" t="s">
        <x:v>200</x:v>
      </x:c>
      <x:c r="H75" s="38" t="s">
        <x:v>615</x:v>
      </x:c>
      <x:c r="I75" s="38" t="s">
        <x:v>942</x:v>
      </x:c>
      <x:c r="J75" s="38" t="s">
        <x:v>201</x:v>
      </x:c>
      <x:c r="K75" s="38" t="s">
        <x:v>202</x:v>
      </x:c>
      <x:c r="L75" s="38" t="str">
        <x:f t="shared" si="2"/>
        <x:v>変更</x:v>
      </x:c>
    </x:row>
    <x:row r="76" ht="17.649999618530273" customHeight="1">
      <x:c r="A76" s="38">
        <x:v>75</x:v>
      </x:c>
      <x:c r="B76" s="38" t="s">
        <x:v>647</x:v>
      </x:c>
      <x:c r="C76" s="38" t="s">
        <x:v>433</x:v>
      </x:c>
      <x:c r="D76" s="38" t="s">
        <x:v>492</x:v>
      </x:c>
      <x:c r="E76" s="38" t="s">
        <x:v>871</x:v>
      </x:c>
      <x:c r="F76" s="38" t="s">
        <x:v>475</x:v>
      </x:c>
      <x:c r="G76" s="38" t="s">
        <x:v>373</x:v>
      </x:c>
      <x:c r="H76" s="38" t="s">
        <x:v>648</x:v>
      </x:c>
      <x:c r="I76" s="38" t="s">
        <x:v>943</x:v>
      </x:c>
      <x:c r="J76" s="38" t="s">
        <x:v>375</x:v>
      </x:c>
      <x:c r="K76" s="38" t="s">
        <x:v>376</x:v>
      </x:c>
      <x:c r="L76" s="38" t="str">
        <x:f t="shared" si="2"/>
        <x:v>変更</x:v>
      </x:c>
    </x:row>
    <x:row r="77" ht="17.649999618530273" customHeight="1">
      <x:c r="A77" s="38">
        <x:v>76</x:v>
      </x:c>
      <x:c r="B77" s="38" t="s">
        <x:v>649</x:v>
      </x:c>
      <x:c r="C77" s="38" t="s">
        <x:v>436</x:v>
      </x:c>
      <x:c r="D77" s="38" t="s">
        <x:v>470</x:v>
      </x:c>
      <x:c r="E77" s="38" t="s">
        <x:v>888</x:v>
      </x:c>
      <x:c r="F77" s="38" t="s">
        <x:v>491</x:v>
      </x:c>
      <x:c r="G77" s="38" t="s">
        <x:v>200</x:v>
      </x:c>
      <x:c r="H77" s="38" t="s">
        <x:v>594</x:v>
      </x:c>
      <x:c r="I77" s="38" t="s">
        <x:v>944</x:v>
      </x:c>
      <x:c r="J77" s="38" t="s">
        <x:v>201</x:v>
      </x:c>
      <x:c r="K77" s="38" t="s">
        <x:v>202</x:v>
      </x:c>
      <x:c r="L77" s="38" t="str">
        <x:f t="shared" si="2"/>
        <x:v>変更</x:v>
      </x:c>
    </x:row>
    <x:row r="78" ht="17.649999618530273" customHeight="1">
      <x:c r="A78" s="38">
        <x:v>77</x:v>
      </x:c>
      <x:c r="B78" s="38" t="s">
        <x:v>650</x:v>
      </x:c>
      <x:c r="C78" s="38" t="s">
        <x:v>438</x:v>
      </x:c>
      <x:c r="D78" s="38" t="s">
        <x:v>493</x:v>
      </x:c>
      <x:c r="E78" s="38" t="s">
        <x:v>890</x:v>
      </x:c>
      <x:c r="F78" s="38" t="s">
        <x:v>490</x:v>
      </x:c>
      <x:c r="G78" s="38" t="s">
        <x:v>132</x:v>
      </x:c>
      <x:c r="H78" s="38" t="s">
        <x:v>614</x:v>
      </x:c>
      <x:c r="I78" s="38" t="s">
        <x:v>945</x:v>
      </x:c>
      <x:c r="J78" s="38" t="s">
        <x:v>134</x:v>
      </x:c>
      <x:c r="K78" s="38" t="s">
        <x:v>135</x:v>
      </x:c>
      <x:c r="L78" s="38" t="str">
        <x:f t="shared" si="2"/>
        <x:v>変更</x:v>
      </x:c>
    </x:row>
    <x:row r="79" ht="17.649999618530273" customHeight="1">
      <x:c r="A79" s="38">
        <x:v>78</x:v>
      </x:c>
      <x:c r="B79" s="38" t="s">
        <x:v>651</x:v>
      </x:c>
      <x:c r="C79" s="38" t="s">
        <x:v>441</x:v>
      </x:c>
      <x:c r="D79" s="38" t="s">
        <x:v>494</x:v>
      </x:c>
      <x:c r="E79" s="38" t="s">
        <x:v>892</x:v>
      </x:c>
      <x:c r="F79" s="38" t="s">
        <x:v>488</x:v>
      </x:c>
      <x:c r="G79" s="38" t="s">
        <x:v>113</x:v>
      </x:c>
      <x:c r="H79" s="38" t="s">
        <x:v>584</x:v>
      </x:c>
      <x:c r="I79" s="38" t="s">
        <x:v>946</x:v>
      </x:c>
      <x:c r="J79" s="38" t="s">
        <x:v>115</x:v>
      </x:c>
      <x:c r="K79" s="38" t="s">
        <x:v>116</x:v>
      </x:c>
      <x:c r="L79" s="38" t="str">
        <x:f t="shared" si="2"/>
        <x:v>変更</x:v>
      </x:c>
    </x:row>
    <x:row r="80" ht="17.649999618530273" customHeight="1">
      <x:c r="A80" s="38">
        <x:v>79</x:v>
      </x:c>
      <x:c r="B80" s="38" t="s">
        <x:v>652</x:v>
      </x:c>
      <x:c r="C80" s="38" t="s">
        <x:v>444</x:v>
      </x:c>
      <x:c r="D80" s="38" t="s">
        <x:v>495</x:v>
      </x:c>
      <x:c r="E80" s="38" t="s">
        <x:v>894</x:v>
      </x:c>
      <x:c r="F80" s="38" t="s">
        <x:v>489</x:v>
      </x:c>
      <x:c r="G80" s="38" t="s">
        <x:v>123</x:v>
      </x:c>
      <x:c r="H80" s="38" t="s">
        <x:v>585</x:v>
      </x:c>
      <x:c r="I80" s="38" t="s">
        <x:v>947</x:v>
      </x:c>
      <x:c r="J80" s="38" t="s">
        <x:v>125</x:v>
      </x:c>
      <x:c r="K80" s="38" t="s">
        <x:v>126</x:v>
      </x:c>
      <x:c r="L80" s="38" t="str">
        <x:f t="shared" si="2"/>
        <x:v>変更</x:v>
      </x:c>
    </x:row>
    <x:row r="81" ht="17.649999618530273" customHeight="1">
      <x:c r="A81" s="38">
        <x:v>80</x:v>
      </x:c>
      <x:c r="B81" s="38" t="s">
        <x:v>653</x:v>
      </x:c>
      <x:c r="C81" s="38" t="s">
        <x:v>446</x:v>
      </x:c>
      <x:c r="D81" s="38" t="s">
        <x:v>496</x:v>
      </x:c>
      <x:c r="E81" s="38" t="s">
        <x:v>896</x:v>
      </x:c>
      <x:c r="F81" s="38" t="s">
        <x:v>490</x:v>
      </x:c>
      <x:c r="G81" s="38" t="s">
        <x:v>132</x:v>
      </x:c>
      <x:c r="H81" s="38" t="s">
        <x:v>618</x:v>
      </x:c>
      <x:c r="I81" s="38" t="s">
        <x:v>948</x:v>
      </x:c>
      <x:c r="J81" s="38" t="s">
        <x:v>134</x:v>
      </x:c>
      <x:c r="K81" s="38" t="s">
        <x:v>135</x:v>
      </x:c>
      <x:c r="L81" s="38" t="str">
        <x:f t="shared" si="2"/>
        <x:v>変更</x:v>
      </x:c>
    </x:row>
    <x:row r="82" ht="17.649999618530273" customHeight="1">
      <x:c r="A82" s="38">
        <x:v>81</x:v>
      </x:c>
      <x:c r="B82" s="38" t="s">
        <x:v>447</x:v>
      </x:c>
      <x:c r="C82" s="38" t="s">
        <x:v>449</x:v>
      </x:c>
      <x:c r="D82" s="38" t="s">
        <x:v>488</x:v>
      </x:c>
      <x:c r="E82" s="38" t="s">
        <x:v>848</x:v>
      </x:c>
      <x:c r="F82" s="38" t="s">
        <x:v>488</x:v>
      </x:c>
      <x:c r="G82" s="38" t="s">
        <x:v>113</x:v>
      </x:c>
      <x:c r="H82" s="38" t="s">
        <x:v>584</x:v>
      </x:c>
      <x:c r="I82" s="38" t="s">
        <x:v>949</x:v>
      </x:c>
      <x:c r="J82" s="38" t="s">
        <x:v>115</x:v>
      </x:c>
      <x:c r="K82" s="38" t="s">
        <x:v>116</x:v>
      </x:c>
      <x:c r="L82" s="38" t="str">
        <x:f t="shared" si="2"/>
        <x:v>変更</x:v>
      </x:c>
    </x:row>
    <x:row r="83" ht="17.649999618530273" customHeight="1">
      <x:c r="A83" s="38">
        <x:v>82</x:v>
      </x:c>
      <x:c r="B83" s="38" t="s">
        <x:v>450</x:v>
      </x:c>
      <x:c r="C83" s="38" t="s">
        <x:v>452</x:v>
      </x:c>
      <x:c r="D83" s="38" t="s">
        <x:v>489</x:v>
      </x:c>
      <x:c r="E83" s="38" t="s">
        <x:v>7</x:v>
      </x:c>
      <x:c r="F83" s="38" t="s">
        <x:v>490</x:v>
      </x:c>
      <x:c r="G83" s="38" t="s">
        <x:v>132</x:v>
      </x:c>
      <x:c r="H83" s="38" t="s">
        <x:v>614</x:v>
      </x:c>
      <x:c r="I83" s="38" t="s">
        <x:v>950</x:v>
      </x:c>
      <x:c r="J83" s="38" t="s">
        <x:v>134</x:v>
      </x:c>
      <x:c r="K83" s="38" t="s">
        <x:v>135</x:v>
      </x:c>
      <x:c r="L83" s="38" t="str">
        <x:f t="shared" si="2"/>
        <x:v>変更</x:v>
      </x:c>
    </x:row>
    <x:row r="84" ht="17.649999618530273" customHeight="1">
      <x:c r="A84" s="38">
        <x:v>83</x:v>
      </x:c>
      <x:c r="B84" s="38" t="s">
        <x:v>453</x:v>
      </x:c>
      <x:c r="C84" s="38" t="s">
        <x:v>455</x:v>
      </x:c>
      <x:c r="D84" s="38" t="s">
        <x:v>490</x:v>
      </x:c>
      <x:c r="E84" s="38" t="s">
        <x:v>851</x:v>
      </x:c>
      <x:c r="F84" s="38" t="s">
        <x:v>494</x:v>
      </x:c>
      <x:c r="G84" s="38" t="s">
        <x:v>260</x:v>
      </x:c>
      <x:c r="H84" s="38" t="s">
        <x:v>654</x:v>
      </x:c>
      <x:c r="I84" s="38" t="s">
        <x:v>951</x:v>
      </x:c>
      <x:c r="J84" s="38" t="s">
        <x:v>261</x:v>
      </x:c>
      <x:c r="K84" s="38" t="s">
        <x:v>262</x:v>
      </x:c>
      <x:c r="L84" s="38" t="str">
        <x:f t="shared" si="2"/>
        <x:v>変更</x:v>
      </x:c>
    </x:row>
    <x:row r="85" ht="17.649999618530273" customHeight="1">
      <x:c r="A85" s="38">
        <x:v>84</x:v>
      </x:c>
      <x:c r="B85" s="38" t="s">
        <x:v>456</x:v>
      </x:c>
      <x:c r="C85" s="38" t="s">
        <x:v>458</x:v>
      </x:c>
      <x:c r="D85" s="38" t="s">
        <x:v>491</x:v>
      </x:c>
      <x:c r="E85" s="38" t="s">
        <x:v>885</x:v>
      </x:c>
      <x:c r="F85" s="38" t="s">
        <x:v>497</x:v>
      </x:c>
      <x:c r="G85" s="38" t="s">
        <x:v>318</x:v>
      </x:c>
      <x:c r="H85" s="38" t="s">
        <x:v>616</x:v>
      </x:c>
      <x:c r="I85" s="38" t="s">
        <x:v>952</x:v>
      </x:c>
      <x:c r="J85" s="38" t="s">
        <x:v>320</x:v>
      </x:c>
      <x:c r="K85" s="38" t="s">
        <x:v>321</x:v>
      </x:c>
      <x:c r="L85" s="38" t="str">
        <x:f t="shared" si="2"/>
        <x:v>変更</x:v>
      </x:c>
    </x:row>
    <x:row r="86" ht="17.649999618530273" customHeight="1">
      <x:c r="A86" s="38">
        <x:v>85</x:v>
      </x:c>
      <x:c r="B86" s="38" t="s">
        <x:v>459</x:v>
      </x:c>
      <x:c r="C86" s="38" t="s">
        <x:v>461</x:v>
      </x:c>
      <x:c r="D86" s="38" t="s">
        <x:v>492</x:v>
      </x:c>
      <x:c r="E86" s="38" t="s">
        <x:v>871</x:v>
      </x:c>
      <x:c r="F86" s="38" t="s">
        <x:v>488</x:v>
      </x:c>
      <x:c r="G86" s="38" t="s">
        <x:v>113</x:v>
      </x:c>
      <x:c r="H86" s="38" t="s">
        <x:v>607</x:v>
      </x:c>
      <x:c r="I86" s="38" t="s">
        <x:v>953</x:v>
      </x:c>
      <x:c r="J86" s="38" t="s">
        <x:v>115</x:v>
      </x:c>
      <x:c r="K86" s="38" t="s">
        <x:v>116</x:v>
      </x:c>
      <x:c r="L86" s="38" t="str">
        <x:f t="shared" si="2"/>
        <x:v>変更</x:v>
      </x:c>
    </x:row>
    <x:row r="87" ht="17.649999618530273" customHeight="1">
      <x:c r="A87" s="38">
        <x:v>86</x:v>
      </x:c>
      <x:c r="B87" s="38" t="s">
        <x:v>462</x:v>
      </x:c>
      <x:c r="C87" s="38" t="s">
        <x:v>464</x:v>
      </x:c>
      <x:c r="D87" s="38" t="s">
        <x:v>470</x:v>
      </x:c>
      <x:c r="E87" s="38" t="s">
        <x:v>888</x:v>
      </x:c>
      <x:c r="F87" s="38" t="s">
        <x:v>470</x:v>
      </x:c>
      <x:c r="G87" s="38" t="s">
        <x:v>168</x:v>
      </x:c>
      <x:c r="H87" s="38" t="s">
        <x:v>655</x:v>
      </x:c>
      <x:c r="I87" s="38" t="s">
        <x:v>954</x:v>
      </x:c>
      <x:c r="J87" s="38" t="s">
        <x:v>170</x:v>
      </x:c>
      <x:c r="K87" s="38" t="s">
        <x:v>171</x:v>
      </x:c>
      <x:c r="L87" s="38" t="str">
        <x:f t="shared" si="2"/>
        <x:v>変更</x:v>
      </x:c>
    </x:row>
    <x:row r="88" ht="17.649999618530273" customHeight="1">
      <x:c r="A88" s="38">
        <x:v>87</x:v>
      </x:c>
      <x:c r="B88" s="38" t="s">
        <x:v>465</x:v>
      </x:c>
      <x:c r="C88" s="38" t="s">
        <x:v>468</x:v>
      </x:c>
      <x:c r="D88" s="38" t="s">
        <x:v>493</x:v>
      </x:c>
      <x:c r="E88" s="38" t="s">
        <x:v>890</x:v>
      </x:c>
      <x:c r="F88" s="38" t="s">
        <x:v>488</x:v>
      </x:c>
      <x:c r="G88" s="38" t="s">
        <x:v>113</x:v>
      </x:c>
      <x:c r="H88" s="38" t="s">
        <x:v>584</x:v>
      </x:c>
      <x:c r="I88" s="38" t="s">
        <x:v>955</x:v>
      </x:c>
      <x:c r="J88" s="38" t="s">
        <x:v>115</x:v>
      </x:c>
      <x:c r="K88" s="38" t="s">
        <x:v>116</x:v>
      </x:c>
      <x:c r="L88" s="38" t="str">
        <x:f t="shared" si="2"/>
        <x:v>変更</x:v>
      </x:c>
    </x:row>
    <x:row r="89" ht="17.649999618530273" customHeight="1">
      <x:c r="A89" s="38">
        <x:v>88</x:v>
      </x:c>
      <x:c r="B89" s="38" t="s">
        <x:v>469</x:v>
      </x:c>
      <x:c r="C89" s="38" t="s">
        <x:v>473</x:v>
      </x:c>
      <x:c r="D89" s="38" t="s">
        <x:v>494</x:v>
      </x:c>
      <x:c r="E89" s="38" t="s">
        <x:v>892</x:v>
      </x:c>
      <x:c r="F89" s="38" t="s">
        <x:v>470</x:v>
      </x:c>
      <x:c r="G89" s="38" t="s">
        <x:v>168</x:v>
      </x:c>
      <x:c r="H89" s="38" t="s">
        <x:v>471</x:v>
      </x:c>
      <x:c r="I89" s="38" t="s">
        <x:v>956</x:v>
      </x:c>
      <x:c r="J89" s="38" t="s">
        <x:v>170</x:v>
      </x:c>
      <x:c r="K89" s="38" t="s">
        <x:v>171</x:v>
      </x:c>
      <x:c r="L89" s="38" t="str">
        <x:f t="shared" si="2"/>
        <x:v>変更</x:v>
      </x:c>
    </x:row>
    <x:row r="90" ht="17.649999618530273" customHeight="1">
      <x:c r="A90" s="38">
        <x:v>89</x:v>
      </x:c>
      <x:c r="B90" s="38" t="s">
        <x:v>474</x:v>
      </x:c>
      <x:c r="C90" s="38" t="s">
        <x:v>478</x:v>
      </x:c>
      <x:c r="D90" s="38" t="s">
        <x:v>495</x:v>
      </x:c>
      <x:c r="E90" s="38" t="s">
        <x:v>894</x:v>
      </x:c>
      <x:c r="F90" s="38" t="s">
        <x:v>475</x:v>
      </x:c>
      <x:c r="G90" s="38" t="s">
        <x:v>373</x:v>
      </x:c>
      <x:c r="H90" s="38" t="s">
        <x:v>476</x:v>
      </x:c>
      <x:c r="I90" s="38" t="s">
        <x:v>957</x:v>
      </x:c>
      <x:c r="J90" s="38" t="s">
        <x:v>375</x:v>
      </x:c>
      <x:c r="K90" s="38" t="s">
        <x:v>376</x:v>
      </x:c>
      <x:c r="L90" s="38" t="str">
        <x:f t="shared" si="2"/>
        <x:v>変更</x:v>
      </x:c>
    </x:row>
    <x:row r="91" ht="17.649999618530273" customHeight="1">
      <x:c r="A91" s="38">
        <x:v>90</x:v>
      </x:c>
      <x:c r="B91" s="38" t="s">
        <x:v>479</x:v>
      </x:c>
      <x:c r="C91" s="38" t="s">
        <x:v>484</x:v>
      </x:c>
      <x:c r="D91" s="38" t="s">
        <x:v>496</x:v>
      </x:c>
      <x:c r="E91" s="38" t="s">
        <x:v>896</x:v>
      </x:c>
      <x:c r="F91" s="38" t="s">
        <x:v>480</x:v>
      </x:c>
      <x:c r="G91" s="38" t="s">
        <x:v>226</x:v>
      </x:c>
      <x:c r="H91" s="38" t="s">
        <x:v>481</x:v>
      </x:c>
      <x:c r="I91" s="38" t="s">
        <x:v>958</x:v>
      </x:c>
      <x:c r="J91" s="38" t="s">
        <x:v>228</x:v>
      </x:c>
      <x:c r="K91" s="38" t="s">
        <x:v>229</x:v>
      </x:c>
      <x:c r="L91" s="38" t="str">
        <x:f t="shared" si="2"/>
        <x:v>変更</x:v>
      </x:c>
    </x:row>
  </x:sheetData>
  <x:conditionalFormatting sqref="L2:L91">
    <x:cfRule type="expression" dxfId="1" priority="1">
      <x:formula>L2="変更"</x:formula>
    </x:cfRule>
    <x:cfRule type="expression" dxfId="0" priority="2">
      <x:formula>L2="維持"</x:formula>
    </x:cfRule>
  </x:conditionalFormatting>
  <x:pageMargins left="0.7" right="0.7" top="0.75" bottom="0.75" header="0.3" footer="0.3"/>
</x:worksheet>
</file>