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\\192.168.0.240\gyomu-share\配車用\個人フォルダ\関東統括ｾﾝﾀｰ区域（三郷）\●個人配車日報保存場所\パートさん日報置き場\笹沼仁美\指示書検証テスト\"/>
    </mc:Choice>
  </mc:AlternateContent>
  <xr:revisionPtr revIDLastSave="0" documentId="13_ncr:1_{AF5F013F-AC70-4B2F-AB9E-6904B226B9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1_テスト結果一覧" sheetId="1" r:id="rId1"/>
    <sheet name="02_T01-T10判定基準" sheetId="2" r:id="rId2"/>
    <sheet name="03_入力ルール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6" i="1" l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G4" i="1"/>
  <c r="F4" i="1"/>
  <c r="E4" i="1"/>
  <c r="C4" i="1"/>
  <c r="B4" i="1"/>
  <c r="A4" i="1"/>
  <c r="D4" i="1" l="1"/>
  <c r="H4" i="1"/>
</calcChain>
</file>

<file path=xl/sharedStrings.xml><?xml version="1.0" encoding="utf-8"?>
<sst xmlns="http://schemas.openxmlformats.org/spreadsheetml/2006/main" count="353" uniqueCount="239">
  <si>
    <t>配車指示書AI PoC テスト結果一覧</t>
  </si>
  <si>
    <t>実施件数</t>
  </si>
  <si>
    <t>合格件数</t>
  </si>
  <si>
    <t>不合格件数</t>
  </si>
  <si>
    <t>合格率</t>
  </si>
  <si>
    <t>誤読合計</t>
  </si>
  <si>
    <t>勝手に確定</t>
  </si>
  <si>
    <t>禁止情報誤出力</t>
  </si>
  <si>
    <t>平均総作業時間(分)</t>
  </si>
  <si>
    <t>No.</t>
  </si>
  <si>
    <t>実施日</t>
  </si>
  <si>
    <t>ケースID</t>
  </si>
  <si>
    <t>試験ID</t>
  </si>
  <si>
    <t>原本種別</t>
  </si>
  <si>
    <t>積地エリア</t>
  </si>
  <si>
    <t>卸地エリア</t>
  </si>
  <si>
    <t>難易度</t>
  </si>
  <si>
    <t>流用元有無</t>
  </si>
  <si>
    <t>新規入力項目数</t>
  </si>
  <si>
    <t>AI操作時間(分)</t>
  </si>
  <si>
    <t>人の確認時間(分)</t>
  </si>
  <si>
    <t>修正時間(分)</t>
  </si>
  <si>
    <t>総作業時間(分)</t>
  </si>
  <si>
    <t>明確に読取れた項目数</t>
  </si>
  <si>
    <t>要確認項目数</t>
  </si>
  <si>
    <t>誤読件数</t>
  </si>
  <si>
    <t>勝手に確定した件数</t>
  </si>
  <si>
    <t>積地・卸地順序誤り件数</t>
  </si>
  <si>
    <t>禁止情報誤出力件数</t>
  </si>
  <si>
    <t>テンプレート自動入力</t>
  </si>
  <si>
    <t>修正内容</t>
  </si>
  <si>
    <t>判定者</t>
  </si>
  <si>
    <t>配車担当確認</t>
  </si>
  <si>
    <t>合否</t>
  </si>
  <si>
    <t>確認メモ</t>
  </si>
  <si>
    <t>D001</t>
  </si>
  <si>
    <t>関東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</si>
  <si>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</si>
  <si>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</si>
  <si>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</si>
  <si>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</si>
  <si>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</si>
  <si>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</si>
  <si>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</si>
  <si>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</si>
  <si>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</si>
  <si>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</si>
  <si>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</si>
  <si>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</si>
  <si>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</si>
  <si>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</si>
  <si>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</si>
  <si>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</si>
  <si>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</si>
  <si>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</si>
  <si>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</si>
  <si>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</si>
  <si>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</si>
  <si>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</si>
  <si>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</si>
  <si>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</si>
  <si>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</si>
  <si>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</si>
  <si>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</si>
  <si>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</si>
  <si>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</si>
  <si>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</si>
  <si>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</si>
  <si>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</si>
  <si>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</si>
  <si>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</si>
  <si>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</si>
  <si>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</si>
  <si>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</si>
  <si>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</si>
  <si>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</si>
  <si>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</si>
  <si>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</si>
  <si>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</si>
  <si>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</si>
  <si>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</si>
  <si>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</si>
  <si>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</si>
  <si>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</si>
  <si>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</si>
  <si>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</si>
  <si>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</si>
  <si>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</si>
  <si>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</si>
  <si>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</si>
  <si>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</si>
  <si>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</si>
  <si>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</si>
  <si>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</si>
  <si>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</si>
  <si>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</si>
  <si>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</si>
  <si>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</si>
  <si>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</si>
  <si>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</si>
  <si>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</si>
  <si>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</si>
  <si>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</si>
  <si>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</si>
  <si>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</si>
  <si>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</si>
  <si>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</si>
  <si>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</si>
  <si>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</si>
  <si>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</si>
  <si>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</si>
  <si>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</si>
  <si>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</si>
  <si>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</si>
  <si>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</si>
  <si>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</si>
  <si>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</si>
  <si>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</si>
  <si>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</si>
  <si>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</si>
  <si>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</si>
  <si>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</si>
  <si>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</si>
  <si>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</si>
  <si>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</si>
  <si>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</si>
  <si>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</si>
  <si>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</si>
  <si>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</si>
  <si>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</si>
  <si>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</si>
  <si>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</si>
  <si>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</si>
  <si>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</si>
  <si>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</si>
  <si>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</si>
  <si>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T01〜T10 判定基準</t>
  </si>
  <si>
    <t>対象</t>
  </si>
  <si>
    <t>主な確認内容</t>
  </si>
  <si>
    <t>合格条件</t>
  </si>
  <si>
    <t>不合格となる例</t>
  </si>
  <si>
    <t>備考</t>
  </si>
  <si>
    <t>T01</t>
  </si>
  <si>
    <t>一般的な印字帳票</t>
  </si>
  <si>
    <t>必要項目の抽出・テンプレート生成</t>
  </si>
  <si>
    <t>明確な必須情報の抽出漏れ0件、明確な情報の誤入力0件。判断不能は要確認。</t>
  </si>
  <si>
    <t>配車担当＋作成者</t>
  </si>
  <si>
    <t>明確な積地を誤読／必須情報を落とす</t>
  </si>
  <si>
    <t>通常ケース</t>
  </si>
  <si>
    <t>T02</t>
  </si>
  <si>
    <t>FAX文字潰れ</t>
  </si>
  <si>
    <t>判読不能箇所の扱い</t>
  </si>
  <si>
    <t>読めない箇所の勝手な確定0件。判読不能は要確認。</t>
  </si>
  <si>
    <t>潰れた電話番号を推測して確定</t>
  </si>
  <si>
    <t>安全側に倒す</t>
  </si>
  <si>
    <t>T03</t>
  </si>
  <si>
    <t>手書き・追記</t>
  </si>
  <si>
    <t>手書き情報の抽出</t>
  </si>
  <si>
    <t>明確に読める追記の反映漏れ0件。判読不能の勝手な確定0件。</t>
  </si>
  <si>
    <t>読めない手書きを推測</t>
  </si>
  <si>
    <t>不明は要確認</t>
  </si>
  <si>
    <t>T04</t>
  </si>
  <si>
    <t>自由文章・非テンプレ</t>
  </si>
  <si>
    <t>文章から項目整理</t>
  </si>
  <si>
    <t>明確な必須情報の抽出漏れ0件、誤分類0件。</t>
  </si>
  <si>
    <t>文章中の卸地を積地欄へ入れる</t>
  </si>
  <si>
    <t>レイアウト非依存</t>
  </si>
  <si>
    <t>T05</t>
  </si>
  <si>
    <t>複数積地・卸地</t>
  </si>
  <si>
    <t>地点・順番・日時保持</t>
  </si>
  <si>
    <t>地点欠落0件、順番逆転0件、日時紐付け誤り0件。</t>
  </si>
  <si>
    <t>配車担当</t>
  </si>
  <si>
    <t>積地②と卸地①を逆転</t>
  </si>
  <si>
    <t>順番不明なら要確認</t>
  </si>
  <si>
    <t>T06</t>
  </si>
  <si>
    <t>曖昧な日時表現</t>
  </si>
  <si>
    <t>AM/PM・頃・まで・以降</t>
  </si>
  <si>
    <t>日付/曜日/AMPM誤り0件。条件語の欠落0件。</t>
  </si>
  <si>
    <t>15時頃を15:00確定に変更</t>
  </si>
  <si>
    <t>原文条件を保持</t>
  </si>
  <si>
    <t>T07</t>
  </si>
  <si>
    <t>矛盾・朝一等</t>
  </si>
  <si>
    <t>曖昧表現・矛盾検知</t>
  </si>
  <si>
    <t>矛盾や曖昧内容を勝手に確定0件。要確認へ戻す。</t>
  </si>
  <si>
    <t>朝一と15時記載のどちらかを勝手に採用</t>
  </si>
  <si>
    <t>人が最終判断</t>
  </si>
  <si>
    <t>T08</t>
  </si>
  <si>
    <t>情報不足・口頭追加</t>
  </si>
  <si>
    <t>不足・追加・矛盾の処理</t>
  </si>
  <si>
    <t>不足見逃し0件、口頭追加反映漏れ0件、矛盾自動決定0件。</t>
  </si>
  <si>
    <t>卸地未記載なのに推測して入力</t>
  </si>
  <si>
    <t>口頭情報は別記録</t>
  </si>
  <si>
    <t>T09</t>
  </si>
  <si>
    <t>禁止情報混在</t>
  </si>
  <si>
    <t>表示可否・情報漏えい</t>
  </si>
  <si>
    <t>禁止情報誤出力0件。表示可否不明は要確認。</t>
  </si>
  <si>
    <t>配車担当＋社内ルール判定者</t>
  </si>
  <si>
    <t>受取運賃など禁止情報を出力</t>
  </si>
  <si>
    <t>禁止範囲は上長確認</t>
  </si>
  <si>
    <t>T10</t>
  </si>
  <si>
    <t>過去案件比較</t>
  </si>
  <si>
    <t>過去情報の優先制御</t>
  </si>
  <si>
    <t>過去値による今回情報の自動上書き0件。過去情報は候補扱い。</t>
  </si>
  <si>
    <t>過去担当者名を今回欄へ確定</t>
  </si>
  <si>
    <t>今回原本・口頭を優先</t>
  </si>
  <si>
    <t>入力・判定ルール</t>
  </si>
  <si>
    <t>項目</t>
  </si>
  <si>
    <t>ルール</t>
  </si>
  <si>
    <t>例</t>
  </si>
  <si>
    <t>注意</t>
  </si>
  <si>
    <t>要確認</t>
  </si>
  <si>
    <t>読めない・曖昧・矛盾・不足は推測せず要確認</t>
  </si>
  <si>
    <t>電話番号の一部が潰れている→要確認</t>
  </si>
  <si>
    <t>要確認は失敗ではない</t>
  </si>
  <si>
    <t>誤読</t>
  </si>
  <si>
    <t>明確に読める情報を間違えて抽出した件数</t>
  </si>
  <si>
    <t>9:00を8:00と抽出</t>
  </si>
  <si>
    <t>0件が望ましい</t>
  </si>
  <si>
    <t>本来要確認の内容をAIが推測して確定した件数</t>
  </si>
  <si>
    <t>朝一→8:00</t>
  </si>
  <si>
    <t>0件を合格条件</t>
  </si>
  <si>
    <t>傭車先等へ出してはいけない情報を出力した件数</t>
  </si>
  <si>
    <t>受取運賃を傭車先向けへ表示</t>
  </si>
  <si>
    <t>総作業時間</t>
  </si>
  <si>
    <t>AI操作＋人の確認＋修正</t>
  </si>
  <si>
    <t>2.0+3.0+1.0=6.0分</t>
  </si>
  <si>
    <t>待ち時間・電話中断は別管理が望ましい</t>
  </si>
  <si>
    <t>当初は未分類で記録し、件数蓄積後に分類</t>
  </si>
  <si>
    <t>流用有無、新規入力項目数、実測時間で分類</t>
  </si>
  <si>
    <t>先に主観で固定しない</t>
  </si>
  <si>
    <t>T01〜T10判定基準に従う</t>
  </si>
  <si>
    <t>T02で推測0件かつ不明を要確認→合格</t>
  </si>
  <si>
    <t>安全項目は1件でもNGあり</t>
  </si>
  <si>
    <t>九州</t>
  </si>
  <si>
    <t>軽い</t>
  </si>
  <si>
    <t>なし</t>
  </si>
  <si>
    <t>可</t>
  </si>
  <si>
    <t>積地卸地の建物名称がその他になっていた</t>
  </si>
  <si>
    <t>合格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</si>
</sst>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%"/>
    <numFmt numFmtId="177" formatCode="0.0"/>
    <numFmt numFmtId="178" formatCode="yyyy\-mm\-dd"/>
  </numFmts>
  <fonts count="10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6">
    <xf numFmtId="0" fontId="0" fillId="0" borderId="0" xfId="0"/>
    <xf numFmtId="0" fontId="4" fillId="4" borderId="0" xfId="1" applyFont="1" applyFill="1" applyAlignment="1">
      <alignment horizontal="center" vertical="top" wrapText="1"/>
    </xf>
    <xf numFmtId="0" fontId="0" fillId="0" borderId="0" xfId="1" applyFont="1" applyAlignment="1">
      <alignment vertical="top"/>
    </xf>
    <xf numFmtId="178" fontId="0" fillId="0" borderId="0" xfId="1" applyNumberFormat="1" applyFont="1" applyAlignment="1">
      <alignment vertical="top"/>
    </xf>
    <xf numFmtId="177" fontId="0" fillId="0" borderId="0" xfId="1" applyNumberFormat="1" applyFont="1" applyAlignment="1">
      <alignment vertical="top"/>
    </xf>
    <xf numFmtId="0" fontId="0" fillId="0" borderId="0" xfId="1" applyFont="1" applyAlignment="1">
      <alignment vertical="top" wrapText="1"/>
    </xf>
    <xf numFmtId="0" fontId="2" fillId="3" borderId="0" xfId="1" applyFont="1" applyFill="1" applyAlignment="1">
      <alignment horizontal="center" vertical="top" wrapText="1"/>
    </xf>
    <xf numFmtId="0" fontId="3" fillId="0" borderId="0" xfId="1" applyFont="1" applyAlignment="1">
      <alignment horizontal="center" vertical="top"/>
    </xf>
    <xf numFmtId="176" fontId="3" fillId="0" borderId="0" xfId="1" applyNumberFormat="1" applyFont="1" applyAlignment="1">
      <alignment horizontal="center" vertical="top"/>
    </xf>
    <xf numFmtId="177" fontId="3" fillId="0" borderId="0" xfId="1" applyNumberFormat="1" applyFont="1" applyAlignment="1">
      <alignment horizontal="center" vertical="top"/>
    </xf>
    <xf numFmtId="0" fontId="4" fillId="4" borderId="0" xfId="1" applyFont="1" applyFill="1" applyAlignment="1">
      <alignment vertical="top" wrapText="1"/>
    </xf>
    <xf numFmtId="0" fontId="1" fillId="2" borderId="0" xfId="1" applyFont="1" applyFill="1" applyAlignment="1">
      <alignment horizontal="center" vertical="top"/>
    </xf>
    <xf numFmtId="0" fontId="0" fillId="0" borderId="0" xfId="1" applyFont="1" applyAlignment="1">
      <alignment vertical="top"/>
    </xf>
    <xf numFmtId="0" fontId="5" fillId="2" borderId="0" xfId="1" applyFont="1" applyFill="1" applyAlignment="1">
      <alignment horizontal="center" vertical="top"/>
    </xf>
    <xf numFmtId="0" fontId="9" fillId="0" borderId="0" xfId="1" applyFont="1" applyAlignment="1">
      <alignment vertical="top" wrapText="1"/>
    </xf>
    <xf numFmtId="0" fontId="8" fillId="0" borderId="0" xfId="1" applyFont="1" applyAlignment="1">
      <alignment vertical="top" wrapText="1"/>
    </xf>
  </cellXfs>
  <cellStyles count="2">
    <cellStyle name="Normal" xfId="1" xr:uid="{00000000-0005-0000-0000-000000000000}"/>
    <cellStyle name="標準" xfId="0" builtinId="0"/>
  </cellStyles>
  <dxfs count="4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20"/>
  <sheetViews>
    <sheetView tabSelected="1" workbookViewId="0">
      <selection activeCell="L19" sqref="L19"/>
    </sheetView>
  </sheetViews>
  <sheetFormatPr defaultRowHeight="14.25"/>
  <cols>
    <col min="1" max="1" width="6" customWidth="1"/>
    <col min="2" max="2" width="12" customWidth="1"/>
    <col min="3" max="3" width="10" customWidth="1"/>
    <col min="4" max="4" width="9" customWidth="1"/>
    <col min="5" max="5" width="18" customWidth="1"/>
    <col min="6" max="7" width="11" customWidth="1"/>
    <col min="8" max="9" width="10" customWidth="1"/>
    <col min="10" max="10" width="12" customWidth="1"/>
    <col min="11" max="11" width="13" customWidth="1"/>
    <col min="12" max="12" width="15" customWidth="1"/>
    <col min="13" max="13" width="12" customWidth="1"/>
    <col min="14" max="14" width="14" customWidth="1"/>
    <col min="15" max="15" width="15" customWidth="1"/>
    <col min="16" max="16" width="12" customWidth="1"/>
    <col min="17" max="17" width="10" customWidth="1"/>
    <col min="18" max="18" width="12" customWidth="1"/>
    <col min="19" max="20" width="14" customWidth="1"/>
    <col min="21" max="21" width="15" customWidth="1"/>
    <col min="22" max="22" width="28" customWidth="1"/>
    <col min="23" max="23" width="20" customWidth="1"/>
    <col min="24" max="24" width="14" customWidth="1"/>
    <col min="25" max="25" width="10" customWidth="1"/>
    <col min="26" max="26" width="32" customWidth="1"/>
  </cols>
  <sheetData>
    <row r="1" spans="1:26" ht="26.1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6" t="s">
        <v>8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>
      <c r="A4" s="7">
        <f>COUNTA(C7:C106)</f>
        <v>100</v>
      </c>
      <c r="B4" s="7">
        <f>COUNTIF(Y7:Y106,"合格")</f>
        <v>1</v>
      </c>
      <c r="C4" s="7">
        <f>COUNTIF(Y7:Y106,"不合格")</f>
        <v>0</v>
      </c>
      <c r="D4" s="8">
        <f>IF(A4=0,"",B4/A4)</f>
        <v>0.01</v>
      </c>
      <c r="E4" s="7">
        <f>SUM(Q7:Q106)</f>
        <v>0</v>
      </c>
      <c r="F4" s="7">
        <f>SUM(R7:R106)</f>
        <v>0</v>
      </c>
      <c r="G4" s="7">
        <f>SUM(T7:T106)</f>
        <v>0</v>
      </c>
      <c r="H4" s="9">
        <f>IFERROR(AVERAGE(N7:N106),"")</f>
        <v>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  <c r="J6" s="1" t="s">
        <v>18</v>
      </c>
      <c r="K6" s="1" t="s">
        <v>19</v>
      </c>
      <c r="L6" s="1" t="s">
        <v>20</v>
      </c>
      <c r="M6" s="1" t="s">
        <v>21</v>
      </c>
      <c r="N6" s="1" t="s">
        <v>22</v>
      </c>
      <c r="O6" s="1" t="s">
        <v>23</v>
      </c>
      <c r="P6" s="1" t="s">
        <v>24</v>
      </c>
      <c r="Q6" s="1" t="s">
        <v>25</v>
      </c>
      <c r="R6" s="1" t="s">
        <v>26</v>
      </c>
      <c r="S6" s="1" t="s">
        <v>27</v>
      </c>
      <c r="T6" s="1" t="s">
        <v>28</v>
      </c>
      <c r="U6" s="1" t="s">
        <v>29</v>
      </c>
      <c r="V6" s="1" t="s">
        <v>30</v>
      </c>
      <c r="W6" s="1" t="s">
        <v>31</v>
      </c>
      <c r="X6" s="1" t="s">
        <v>32</v>
      </c>
      <c r="Y6" s="1" t="s">
        <v>33</v>
      </c>
      <c r="Z6" s="1" t="s">
        <v>34</v>
      </c>
    </row>
    <row r="7" spans="1:26" ht="27">
      <c r="A7" s="2">
        <v>1</v>
      </c>
      <c r="B7" s="3"/>
      <c r="C7" s="2" t="s">
        <v>35</v>
      </c>
      <c r="D7" s="2" t="s">
        <v>142</v>
      </c>
      <c r="E7" s="2"/>
      <c r="F7" s="2" t="s">
        <v>36</v>
      </c>
      <c r="G7" s="2" t="s">
        <v>233</v>
      </c>
      <c r="H7" s="2" t="s">
        <v>234</v>
      </c>
      <c r="I7" s="2" t="s">
        <v>235</v>
      </c>
      <c r="J7" s="4">
        <v>21</v>
      </c>
      <c r="K7" s="4">
        <v>5</v>
      </c>
      <c r="L7" s="4"/>
      <c r="M7" s="4"/>
      <c r="N7" s="4">
        <f t="shared" ref="N7:N38" si="0">IF(COUNTA(K7:M7)=0,"",SUM(K7:M7))</f>
        <v>5</v>
      </c>
      <c r="O7" s="4">
        <v>21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2" t="s">
        <v>236</v>
      </c>
      <c r="V7" s="14"/>
      <c r="W7" s="5"/>
      <c r="X7" s="5"/>
      <c r="Y7" s="5" t="s">
        <v>238</v>
      </c>
      <c r="Z7" s="15" t="s">
        <v>237</v>
      </c>
    </row>
    <row r="8" spans="1:26">
      <c r="A8" s="2">
        <v>2</v>
      </c>
      <c r="B8" s="3"/>
      <c r="C8" s="2" t="s">
        <v>37</v>
      </c>
      <c r="D8" s="2"/>
      <c r="E8" s="2"/>
      <c r="F8" s="2" t="s">
        <v>36</v>
      </c>
      <c r="G8" s="2"/>
      <c r="H8" s="2"/>
      <c r="I8" s="2"/>
      <c r="J8" s="4"/>
      <c r="K8" s="4"/>
      <c r="L8" s="4"/>
      <c r="M8" s="4"/>
      <c r="N8" s="4" t="str">
        <f t="shared" si="0"/>
        <v/>
      </c>
      <c r="O8" s="4"/>
      <c r="P8" s="4"/>
      <c r="Q8" s="4"/>
      <c r="R8" s="4"/>
      <c r="S8" s="4"/>
      <c r="T8" s="4"/>
      <c r="U8" s="2"/>
      <c r="V8" s="5"/>
      <c r="W8" s="5"/>
      <c r="X8" s="5"/>
      <c r="Y8" s="5"/>
      <c r="Z8" s="5"/>
    </row>
    <row r="9" spans="1:26">
      <c r="A9" s="2">
        <v>3</v>
      </c>
      <c r="B9" s="3"/>
      <c r="C9" s="2" t="s">
        <v>38</v>
      </c>
      <c r="D9" s="2"/>
      <c r="E9" s="2"/>
      <c r="F9" s="2" t="s">
        <v>36</v>
      </c>
      <c r="G9" s="2"/>
      <c r="H9" s="2"/>
      <c r="I9" s="2"/>
      <c r="J9" s="4"/>
      <c r="K9" s="4"/>
      <c r="L9" s="4"/>
      <c r="M9" s="4"/>
      <c r="N9" s="4" t="str">
        <f t="shared" si="0"/>
        <v/>
      </c>
      <c r="O9" s="4"/>
      <c r="P9" s="4"/>
      <c r="Q9" s="4"/>
      <c r="R9" s="4"/>
      <c r="S9" s="4"/>
      <c r="T9" s="4"/>
      <c r="U9" s="2"/>
      <c r="V9" s="5"/>
      <c r="W9" s="5"/>
      <c r="X9" s="5"/>
      <c r="Y9" s="5"/>
      <c r="Z9" s="5"/>
    </row>
    <row r="10" spans="1:26">
      <c r="A10" s="2">
        <v>4</v>
      </c>
      <c r="B10" s="3"/>
      <c r="C10" s="2" t="s">
        <v>39</v>
      </c>
      <c r="D10" s="2"/>
      <c r="E10" s="2"/>
      <c r="F10" s="2" t="s">
        <v>36</v>
      </c>
      <c r="G10" s="2"/>
      <c r="H10" s="2"/>
      <c r="I10" s="2"/>
      <c r="J10" s="4"/>
      <c r="K10" s="4"/>
      <c r="L10" s="4"/>
      <c r="M10" s="4"/>
      <c r="N10" s="4" t="str">
        <f t="shared" si="0"/>
        <v/>
      </c>
      <c r="O10" s="4"/>
      <c r="P10" s="4"/>
      <c r="Q10" s="4"/>
      <c r="R10" s="4"/>
      <c r="S10" s="4"/>
      <c r="T10" s="4"/>
      <c r="U10" s="2"/>
      <c r="V10" s="5"/>
      <c r="W10" s="5"/>
      <c r="X10" s="5"/>
      <c r="Y10" s="5"/>
      <c r="Z10" s="5"/>
    </row>
    <row r="11" spans="1:26">
      <c r="A11" s="2">
        <v>5</v>
      </c>
      <c r="B11" s="3"/>
      <c r="C11" s="2" t="s">
        <v>40</v>
      </c>
      <c r="D11" s="2"/>
      <c r="E11" s="2"/>
      <c r="F11" s="2" t="s">
        <v>36</v>
      </c>
      <c r="G11" s="2"/>
      <c r="H11" s="2"/>
      <c r="I11" s="2"/>
      <c r="J11" s="4"/>
      <c r="K11" s="4"/>
      <c r="L11" s="4"/>
      <c r="M11" s="4"/>
      <c r="N11" s="4" t="str">
        <f t="shared" si="0"/>
        <v/>
      </c>
      <c r="O11" s="4"/>
      <c r="P11" s="4"/>
      <c r="Q11" s="4"/>
      <c r="R11" s="4"/>
      <c r="S11" s="4"/>
      <c r="T11" s="4"/>
      <c r="U11" s="2"/>
      <c r="V11" s="5"/>
      <c r="W11" s="5"/>
      <c r="X11" s="5"/>
      <c r="Y11" s="5"/>
      <c r="Z11" s="5"/>
    </row>
    <row r="12" spans="1:26">
      <c r="A12" s="2">
        <v>6</v>
      </c>
      <c r="B12" s="3"/>
      <c r="C12" s="2" t="s">
        <v>41</v>
      </c>
      <c r="D12" s="2"/>
      <c r="E12" s="2"/>
      <c r="F12" s="2" t="s">
        <v>36</v>
      </c>
      <c r="G12" s="2"/>
      <c r="H12" s="2"/>
      <c r="I12" s="2"/>
      <c r="J12" s="4"/>
      <c r="K12" s="4"/>
      <c r="L12" s="4"/>
      <c r="M12" s="4"/>
      <c r="N12" s="4" t="str">
        <f t="shared" si="0"/>
        <v/>
      </c>
      <c r="O12" s="4"/>
      <c r="P12" s="4"/>
      <c r="Q12" s="4"/>
      <c r="R12" s="4"/>
      <c r="S12" s="4"/>
      <c r="T12" s="4"/>
      <c r="U12" s="2"/>
      <c r="V12" s="5"/>
      <c r="W12" s="5"/>
      <c r="X12" s="5"/>
      <c r="Y12" s="5"/>
      <c r="Z12" s="5"/>
    </row>
    <row r="13" spans="1:26">
      <c r="A13" s="2">
        <v>7</v>
      </c>
      <c r="B13" s="3"/>
      <c r="C13" s="2" t="s">
        <v>42</v>
      </c>
      <c r="D13" s="2"/>
      <c r="E13" s="2"/>
      <c r="F13" s="2" t="s">
        <v>36</v>
      </c>
      <c r="G13" s="2"/>
      <c r="H13" s="2"/>
      <c r="I13" s="2"/>
      <c r="J13" s="4"/>
      <c r="K13" s="4"/>
      <c r="L13" s="4"/>
      <c r="M13" s="4"/>
      <c r="N13" s="4" t="str">
        <f t="shared" si="0"/>
        <v/>
      </c>
      <c r="O13" s="4"/>
      <c r="P13" s="4"/>
      <c r="Q13" s="4"/>
      <c r="R13" s="4"/>
      <c r="S13" s="4"/>
      <c r="T13" s="4"/>
      <c r="U13" s="2"/>
      <c r="V13" s="5"/>
      <c r="W13" s="5"/>
      <c r="X13" s="5"/>
      <c r="Y13" s="5"/>
      <c r="Z13" s="5"/>
    </row>
    <row r="14" spans="1:26">
      <c r="A14" s="2">
        <v>8</v>
      </c>
      <c r="B14" s="3"/>
      <c r="C14" s="2" t="s">
        <v>43</v>
      </c>
      <c r="D14" s="2"/>
      <c r="E14" s="2"/>
      <c r="F14" s="2" t="s">
        <v>36</v>
      </c>
      <c r="G14" s="2"/>
      <c r="H14" s="2"/>
      <c r="I14" s="2"/>
      <c r="J14" s="4"/>
      <c r="K14" s="4"/>
      <c r="L14" s="4"/>
      <c r="M14" s="4"/>
      <c r="N14" s="4" t="str">
        <f t="shared" si="0"/>
        <v/>
      </c>
      <c r="O14" s="4"/>
      <c r="P14" s="4"/>
      <c r="Q14" s="4"/>
      <c r="R14" s="4"/>
      <c r="S14" s="4"/>
      <c r="T14" s="4"/>
      <c r="U14" s="2"/>
      <c r="V14" s="5"/>
      <c r="W14" s="5"/>
      <c r="X14" s="5"/>
      <c r="Y14" s="5"/>
      <c r="Z14" s="5"/>
    </row>
    <row r="15" spans="1:26">
      <c r="A15" s="2">
        <v>9</v>
      </c>
      <c r="B15" s="3"/>
      <c r="C15" s="2" t="s">
        <v>44</v>
      </c>
      <c r="D15" s="2"/>
      <c r="E15" s="2"/>
      <c r="F15" s="2" t="s">
        <v>36</v>
      </c>
      <c r="G15" s="2"/>
      <c r="H15" s="2"/>
      <c r="I15" s="2"/>
      <c r="J15" s="4"/>
      <c r="K15" s="4"/>
      <c r="L15" s="4"/>
      <c r="M15" s="4"/>
      <c r="N15" s="4" t="str">
        <f t="shared" si="0"/>
        <v/>
      </c>
      <c r="O15" s="4"/>
      <c r="P15" s="4"/>
      <c r="Q15" s="4"/>
      <c r="R15" s="4"/>
      <c r="S15" s="4"/>
      <c r="T15" s="4"/>
      <c r="U15" s="2"/>
      <c r="V15" s="5"/>
      <c r="W15" s="5"/>
      <c r="X15" s="5"/>
      <c r="Y15" s="5"/>
      <c r="Z15" s="5"/>
    </row>
    <row r="16" spans="1:26">
      <c r="A16" s="2">
        <v>10</v>
      </c>
      <c r="B16" s="3"/>
      <c r="C16" s="2" t="s">
        <v>45</v>
      </c>
      <c r="D16" s="2"/>
      <c r="E16" s="2"/>
      <c r="F16" s="2" t="s">
        <v>36</v>
      </c>
      <c r="G16" s="2"/>
      <c r="H16" s="2"/>
      <c r="I16" s="2"/>
      <c r="J16" s="4"/>
      <c r="K16" s="4"/>
      <c r="L16" s="4"/>
      <c r="M16" s="4"/>
      <c r="N16" s="4" t="str">
        <f t="shared" si="0"/>
        <v/>
      </c>
      <c r="O16" s="4"/>
      <c r="P16" s="4"/>
      <c r="Q16" s="4"/>
      <c r="R16" s="4"/>
      <c r="S16" s="4"/>
      <c r="T16" s="4"/>
      <c r="U16" s="2"/>
      <c r="V16" s="5"/>
      <c r="W16" s="5"/>
      <c r="X16" s="5"/>
      <c r="Y16" s="5"/>
      <c r="Z16" s="5"/>
    </row>
    <row r="17" spans="1:26">
      <c r="A17" s="2">
        <v>11</v>
      </c>
      <c r="B17" s="3"/>
      <c r="C17" s="2" t="s">
        <v>46</v>
      </c>
      <c r="D17" s="2"/>
      <c r="E17" s="2"/>
      <c r="F17" s="2" t="s">
        <v>36</v>
      </c>
      <c r="G17" s="2"/>
      <c r="H17" s="2"/>
      <c r="I17" s="2"/>
      <c r="J17" s="4"/>
      <c r="K17" s="4"/>
      <c r="L17" s="4"/>
      <c r="M17" s="4"/>
      <c r="N17" s="4" t="str">
        <f t="shared" si="0"/>
        <v/>
      </c>
      <c r="O17" s="4"/>
      <c r="P17" s="4"/>
      <c r="Q17" s="4"/>
      <c r="R17" s="4"/>
      <c r="S17" s="4"/>
      <c r="T17" s="4"/>
      <c r="U17" s="2"/>
      <c r="V17" s="5"/>
      <c r="W17" s="5"/>
      <c r="X17" s="5"/>
      <c r="Y17" s="5"/>
      <c r="Z17" s="5"/>
    </row>
    <row r="18" spans="1:26">
      <c r="A18" s="2">
        <v>12</v>
      </c>
      <c r="B18" s="3"/>
      <c r="C18" s="2" t="s">
        <v>47</v>
      </c>
      <c r="D18" s="2"/>
      <c r="E18" s="2"/>
      <c r="F18" s="2" t="s">
        <v>36</v>
      </c>
      <c r="G18" s="2"/>
      <c r="H18" s="2"/>
      <c r="I18" s="2"/>
      <c r="J18" s="4"/>
      <c r="K18" s="4"/>
      <c r="L18" s="4"/>
      <c r="M18" s="4"/>
      <c r="N18" s="4" t="str">
        <f t="shared" si="0"/>
        <v/>
      </c>
      <c r="O18" s="4"/>
      <c r="P18" s="4"/>
      <c r="Q18" s="4"/>
      <c r="R18" s="4"/>
      <c r="S18" s="4"/>
      <c r="T18" s="4"/>
      <c r="U18" s="2"/>
      <c r="V18" s="5"/>
      <c r="W18" s="5"/>
      <c r="X18" s="5"/>
      <c r="Y18" s="5"/>
      <c r="Z18" s="5"/>
    </row>
    <row r="19" spans="1:26">
      <c r="A19" s="2">
        <v>13</v>
      </c>
      <c r="B19" s="3"/>
      <c r="C19" s="2" t="s">
        <v>48</v>
      </c>
      <c r="D19" s="2"/>
      <c r="E19" s="2"/>
      <c r="F19" s="2" t="s">
        <v>36</v>
      </c>
      <c r="G19" s="2"/>
      <c r="H19" s="2"/>
      <c r="I19" s="2"/>
      <c r="J19" s="4"/>
      <c r="K19" s="4"/>
      <c r="L19" s="4"/>
      <c r="M19" s="4"/>
      <c r="N19" s="4" t="str">
        <f t="shared" si="0"/>
        <v/>
      </c>
      <c r="O19" s="4"/>
      <c r="P19" s="4"/>
      <c r="Q19" s="4"/>
      <c r="R19" s="4"/>
      <c r="S19" s="4"/>
      <c r="T19" s="4"/>
      <c r="U19" s="2"/>
      <c r="V19" s="5"/>
      <c r="W19" s="5"/>
      <c r="X19" s="5"/>
      <c r="Y19" s="5"/>
      <c r="Z19" s="5"/>
    </row>
    <row r="20" spans="1:26">
      <c r="A20" s="2">
        <v>14</v>
      </c>
      <c r="B20" s="3"/>
      <c r="C20" s="2" t="s">
        <v>49</v>
      </c>
      <c r="D20" s="2"/>
      <c r="E20" s="2"/>
      <c r="F20" s="2" t="s">
        <v>36</v>
      </c>
      <c r="G20" s="2"/>
      <c r="H20" s="2"/>
      <c r="I20" s="2"/>
      <c r="J20" s="4"/>
      <c r="K20" s="4"/>
      <c r="L20" s="4"/>
      <c r="M20" s="4"/>
      <c r="N20" s="4" t="str">
        <f t="shared" si="0"/>
        <v/>
      </c>
      <c r="O20" s="4"/>
      <c r="P20" s="4"/>
      <c r="Q20" s="4"/>
      <c r="R20" s="4"/>
      <c r="S20" s="4"/>
      <c r="T20" s="4"/>
      <c r="U20" s="2"/>
      <c r="V20" s="5"/>
      <c r="W20" s="5"/>
      <c r="X20" s="5"/>
      <c r="Y20" s="5"/>
      <c r="Z20" s="5"/>
    </row>
    <row r="21" spans="1:26">
      <c r="A21" s="2">
        <v>15</v>
      </c>
      <c r="B21" s="3"/>
      <c r="C21" s="2" t="s">
        <v>50</v>
      </c>
      <c r="D21" s="2"/>
      <c r="E21" s="2"/>
      <c r="F21" s="2" t="s">
        <v>36</v>
      </c>
      <c r="G21" s="2"/>
      <c r="H21" s="2"/>
      <c r="I21" s="2"/>
      <c r="J21" s="4"/>
      <c r="K21" s="4"/>
      <c r="L21" s="4"/>
      <c r="M21" s="4"/>
      <c r="N21" s="4" t="str">
        <f t="shared" si="0"/>
        <v/>
      </c>
      <c r="O21" s="4"/>
      <c r="P21" s="4"/>
      <c r="Q21" s="4"/>
      <c r="R21" s="4"/>
      <c r="S21" s="4"/>
      <c r="T21" s="4"/>
      <c r="U21" s="2"/>
      <c r="V21" s="5"/>
      <c r="W21" s="5"/>
      <c r="X21" s="5"/>
      <c r="Y21" s="5"/>
      <c r="Z21" s="5"/>
    </row>
    <row r="22" spans="1:26">
      <c r="A22" s="2">
        <v>16</v>
      </c>
      <c r="B22" s="3"/>
      <c r="C22" s="2" t="s">
        <v>51</v>
      </c>
      <c r="D22" s="2"/>
      <c r="E22" s="2"/>
      <c r="F22" s="2" t="s">
        <v>36</v>
      </c>
      <c r="G22" s="2"/>
      <c r="H22" s="2"/>
      <c r="I22" s="2"/>
      <c r="J22" s="4"/>
      <c r="K22" s="4"/>
      <c r="L22" s="4"/>
      <c r="M22" s="4"/>
      <c r="N22" s="4" t="str">
        <f t="shared" si="0"/>
        <v/>
      </c>
      <c r="O22" s="4"/>
      <c r="P22" s="4"/>
      <c r="Q22" s="4"/>
      <c r="R22" s="4"/>
      <c r="S22" s="4"/>
      <c r="T22" s="4"/>
      <c r="U22" s="2"/>
      <c r="V22" s="5"/>
      <c r="W22" s="5"/>
      <c r="X22" s="5"/>
      <c r="Y22" s="5"/>
      <c r="Z22" s="5"/>
    </row>
    <row r="23" spans="1:26">
      <c r="A23" s="2">
        <v>17</v>
      </c>
      <c r="B23" s="3"/>
      <c r="C23" s="2" t="s">
        <v>52</v>
      </c>
      <c r="D23" s="2"/>
      <c r="E23" s="2"/>
      <c r="F23" s="2" t="s">
        <v>36</v>
      </c>
      <c r="G23" s="2"/>
      <c r="H23" s="2"/>
      <c r="I23" s="2"/>
      <c r="J23" s="4"/>
      <c r="K23" s="4"/>
      <c r="L23" s="4"/>
      <c r="M23" s="4"/>
      <c r="N23" s="4" t="str">
        <f t="shared" si="0"/>
        <v/>
      </c>
      <c r="O23" s="4"/>
      <c r="P23" s="4"/>
      <c r="Q23" s="4"/>
      <c r="R23" s="4"/>
      <c r="S23" s="4"/>
      <c r="T23" s="4"/>
      <c r="U23" s="2"/>
      <c r="V23" s="5"/>
      <c r="W23" s="5"/>
      <c r="X23" s="5"/>
      <c r="Y23" s="5"/>
      <c r="Z23" s="5"/>
    </row>
    <row r="24" spans="1:26">
      <c r="A24" s="2">
        <v>18</v>
      </c>
      <c r="B24" s="3"/>
      <c r="C24" s="2" t="s">
        <v>53</v>
      </c>
      <c r="D24" s="2"/>
      <c r="E24" s="2"/>
      <c r="F24" s="2" t="s">
        <v>36</v>
      </c>
      <c r="G24" s="2"/>
      <c r="H24" s="2"/>
      <c r="I24" s="2"/>
      <c r="J24" s="4"/>
      <c r="K24" s="4"/>
      <c r="L24" s="4"/>
      <c r="M24" s="4"/>
      <c r="N24" s="4" t="str">
        <f t="shared" si="0"/>
        <v/>
      </c>
      <c r="O24" s="4"/>
      <c r="P24" s="4"/>
      <c r="Q24" s="4"/>
      <c r="R24" s="4"/>
      <c r="S24" s="4"/>
      <c r="T24" s="4"/>
      <c r="U24" s="2"/>
      <c r="V24" s="5"/>
      <c r="W24" s="5"/>
      <c r="X24" s="5"/>
      <c r="Y24" s="5"/>
      <c r="Z24" s="5"/>
    </row>
    <row r="25" spans="1:26">
      <c r="A25" s="2">
        <v>19</v>
      </c>
      <c r="B25" s="3"/>
      <c r="C25" s="2" t="s">
        <v>54</v>
      </c>
      <c r="D25" s="2"/>
      <c r="E25" s="2"/>
      <c r="F25" s="2" t="s">
        <v>36</v>
      </c>
      <c r="G25" s="2"/>
      <c r="H25" s="2"/>
      <c r="I25" s="2"/>
      <c r="J25" s="4"/>
      <c r="K25" s="4"/>
      <c r="L25" s="4"/>
      <c r="M25" s="4"/>
      <c r="N25" s="4" t="str">
        <f t="shared" si="0"/>
        <v/>
      </c>
      <c r="O25" s="4"/>
      <c r="P25" s="4"/>
      <c r="Q25" s="4"/>
      <c r="R25" s="4"/>
      <c r="S25" s="4"/>
      <c r="T25" s="4"/>
      <c r="U25" s="2"/>
      <c r="V25" s="5"/>
      <c r="W25" s="5"/>
      <c r="X25" s="5"/>
      <c r="Y25" s="5"/>
      <c r="Z25" s="5"/>
    </row>
    <row r="26" spans="1:26">
      <c r="A26" s="2">
        <v>20</v>
      </c>
      <c r="B26" s="3"/>
      <c r="C26" s="2" t="s">
        <v>55</v>
      </c>
      <c r="D26" s="2"/>
      <c r="E26" s="2"/>
      <c r="F26" s="2" t="s">
        <v>36</v>
      </c>
      <c r="G26" s="2"/>
      <c r="H26" s="2"/>
      <c r="I26" s="2"/>
      <c r="J26" s="4"/>
      <c r="K26" s="4"/>
      <c r="L26" s="4"/>
      <c r="M26" s="4"/>
      <c r="N26" s="4" t="str">
        <f t="shared" si="0"/>
        <v/>
      </c>
      <c r="O26" s="4"/>
      <c r="P26" s="4"/>
      <c r="Q26" s="4"/>
      <c r="R26" s="4"/>
      <c r="S26" s="4"/>
      <c r="T26" s="4"/>
      <c r="U26" s="2"/>
      <c r="V26" s="5"/>
      <c r="W26" s="5"/>
      <c r="X26" s="5"/>
      <c r="Y26" s="5"/>
      <c r="Z26" s="5"/>
    </row>
    <row r="27" spans="1:26">
      <c r="A27" s="2">
        <v>21</v>
      </c>
      <c r="B27" s="3"/>
      <c r="C27" s="2" t="s">
        <v>56</v>
      </c>
      <c r="D27" s="2"/>
      <c r="E27" s="2"/>
      <c r="F27" s="2" t="s">
        <v>36</v>
      </c>
      <c r="G27" s="2"/>
      <c r="H27" s="2"/>
      <c r="I27" s="2"/>
      <c r="J27" s="4"/>
      <c r="K27" s="4"/>
      <c r="L27" s="4"/>
      <c r="M27" s="4"/>
      <c r="N27" s="4" t="str">
        <f t="shared" si="0"/>
        <v/>
      </c>
      <c r="O27" s="4"/>
      <c r="P27" s="4"/>
      <c r="Q27" s="4"/>
      <c r="R27" s="4"/>
      <c r="S27" s="4"/>
      <c r="T27" s="4"/>
      <c r="U27" s="2"/>
      <c r="V27" s="5"/>
      <c r="W27" s="5"/>
      <c r="X27" s="5"/>
      <c r="Y27" s="5"/>
      <c r="Z27" s="5"/>
    </row>
    <row r="28" spans="1:26">
      <c r="A28" s="2">
        <v>22</v>
      </c>
      <c r="B28" s="3"/>
      <c r="C28" s="2" t="s">
        <v>57</v>
      </c>
      <c r="D28" s="2"/>
      <c r="E28" s="2"/>
      <c r="F28" s="2" t="s">
        <v>36</v>
      </c>
      <c r="G28" s="2"/>
      <c r="H28" s="2"/>
      <c r="I28" s="2"/>
      <c r="J28" s="4"/>
      <c r="K28" s="4"/>
      <c r="L28" s="4"/>
      <c r="M28" s="4"/>
      <c r="N28" s="4" t="str">
        <f t="shared" si="0"/>
        <v/>
      </c>
      <c r="O28" s="4"/>
      <c r="P28" s="4"/>
      <c r="Q28" s="4"/>
      <c r="R28" s="4"/>
      <c r="S28" s="4"/>
      <c r="T28" s="4"/>
      <c r="U28" s="2"/>
      <c r="V28" s="5"/>
      <c r="W28" s="5"/>
      <c r="X28" s="5"/>
      <c r="Y28" s="5"/>
      <c r="Z28" s="5"/>
    </row>
    <row r="29" spans="1:26">
      <c r="A29" s="2">
        <v>23</v>
      </c>
      <c r="B29" s="3"/>
      <c r="C29" s="2" t="s">
        <v>58</v>
      </c>
      <c r="D29" s="2"/>
      <c r="E29" s="2"/>
      <c r="F29" s="2" t="s">
        <v>36</v>
      </c>
      <c r="G29" s="2"/>
      <c r="H29" s="2"/>
      <c r="I29" s="2"/>
      <c r="J29" s="4"/>
      <c r="K29" s="4"/>
      <c r="L29" s="4"/>
      <c r="M29" s="4"/>
      <c r="N29" s="4" t="str">
        <f t="shared" si="0"/>
        <v/>
      </c>
      <c r="O29" s="4"/>
      <c r="P29" s="4"/>
      <c r="Q29" s="4"/>
      <c r="R29" s="4"/>
      <c r="S29" s="4"/>
      <c r="T29" s="4"/>
      <c r="U29" s="2"/>
      <c r="V29" s="5"/>
      <c r="W29" s="5"/>
      <c r="X29" s="5"/>
      <c r="Y29" s="5"/>
      <c r="Z29" s="5"/>
    </row>
    <row r="30" spans="1:26">
      <c r="A30" s="2">
        <v>24</v>
      </c>
      <c r="B30" s="3"/>
      <c r="C30" s="2" t="s">
        <v>59</v>
      </c>
      <c r="D30" s="2"/>
      <c r="E30" s="2"/>
      <c r="F30" s="2" t="s">
        <v>36</v>
      </c>
      <c r="G30" s="2"/>
      <c r="H30" s="2"/>
      <c r="I30" s="2"/>
      <c r="J30" s="4"/>
      <c r="K30" s="4"/>
      <c r="L30" s="4"/>
      <c r="M30" s="4"/>
      <c r="N30" s="4" t="str">
        <f t="shared" si="0"/>
        <v/>
      </c>
      <c r="O30" s="4"/>
      <c r="P30" s="4"/>
      <c r="Q30" s="4"/>
      <c r="R30" s="4"/>
      <c r="S30" s="4"/>
      <c r="T30" s="4"/>
      <c r="U30" s="2"/>
      <c r="V30" s="5"/>
      <c r="W30" s="5"/>
      <c r="X30" s="5"/>
      <c r="Y30" s="5"/>
      <c r="Z30" s="5"/>
    </row>
    <row r="31" spans="1:26">
      <c r="A31" s="2">
        <v>25</v>
      </c>
      <c r="B31" s="3"/>
      <c r="C31" s="2" t="s">
        <v>60</v>
      </c>
      <c r="D31" s="2"/>
      <c r="E31" s="2"/>
      <c r="F31" s="2" t="s">
        <v>36</v>
      </c>
      <c r="G31" s="2"/>
      <c r="H31" s="2"/>
      <c r="I31" s="2"/>
      <c r="J31" s="4"/>
      <c r="K31" s="4"/>
      <c r="L31" s="4"/>
      <c r="M31" s="4"/>
      <c r="N31" s="4" t="str">
        <f t="shared" si="0"/>
        <v/>
      </c>
      <c r="O31" s="4"/>
      <c r="P31" s="4"/>
      <c r="Q31" s="4"/>
      <c r="R31" s="4"/>
      <c r="S31" s="4"/>
      <c r="T31" s="4"/>
      <c r="U31" s="2"/>
      <c r="V31" s="5"/>
      <c r="W31" s="5"/>
      <c r="X31" s="5"/>
      <c r="Y31" s="5"/>
      <c r="Z31" s="5"/>
    </row>
    <row r="32" spans="1:26">
      <c r="A32" s="2">
        <v>26</v>
      </c>
      <c r="B32" s="3"/>
      <c r="C32" s="2" t="s">
        <v>61</v>
      </c>
      <c r="D32" s="2"/>
      <c r="E32" s="2"/>
      <c r="F32" s="2" t="s">
        <v>36</v>
      </c>
      <c r="G32" s="2"/>
      <c r="H32" s="2"/>
      <c r="I32" s="2"/>
      <c r="J32" s="4"/>
      <c r="K32" s="4"/>
      <c r="L32" s="4"/>
      <c r="M32" s="4"/>
      <c r="N32" s="4" t="str">
        <f t="shared" si="0"/>
        <v/>
      </c>
      <c r="O32" s="4"/>
      <c r="P32" s="4"/>
      <c r="Q32" s="4"/>
      <c r="R32" s="4"/>
      <c r="S32" s="4"/>
      <c r="T32" s="4"/>
      <c r="U32" s="2"/>
      <c r="V32" s="5"/>
      <c r="W32" s="5"/>
      <c r="X32" s="5"/>
      <c r="Y32" s="5"/>
      <c r="Z32" s="5"/>
    </row>
    <row r="33" spans="1:26">
      <c r="A33" s="2">
        <v>27</v>
      </c>
      <c r="B33" s="3"/>
      <c r="C33" s="2" t="s">
        <v>62</v>
      </c>
      <c r="D33" s="2"/>
      <c r="E33" s="2"/>
      <c r="F33" s="2" t="s">
        <v>36</v>
      </c>
      <c r="G33" s="2"/>
      <c r="H33" s="2"/>
      <c r="I33" s="2"/>
      <c r="J33" s="4"/>
      <c r="K33" s="4"/>
      <c r="L33" s="4"/>
      <c r="M33" s="4"/>
      <c r="N33" s="4" t="str">
        <f t="shared" si="0"/>
        <v/>
      </c>
      <c r="O33" s="4"/>
      <c r="P33" s="4"/>
      <c r="Q33" s="4"/>
      <c r="R33" s="4"/>
      <c r="S33" s="4"/>
      <c r="T33" s="4"/>
      <c r="U33" s="2"/>
      <c r="V33" s="5"/>
      <c r="W33" s="5"/>
      <c r="X33" s="5"/>
      <c r="Y33" s="5"/>
      <c r="Z33" s="5"/>
    </row>
    <row r="34" spans="1:26">
      <c r="A34" s="2">
        <v>28</v>
      </c>
      <c r="B34" s="3"/>
      <c r="C34" s="2" t="s">
        <v>63</v>
      </c>
      <c r="D34" s="2"/>
      <c r="E34" s="2"/>
      <c r="F34" s="2" t="s">
        <v>36</v>
      </c>
      <c r="G34" s="2"/>
      <c r="H34" s="2"/>
      <c r="I34" s="2"/>
      <c r="J34" s="4"/>
      <c r="K34" s="4"/>
      <c r="L34" s="4"/>
      <c r="M34" s="4"/>
      <c r="N34" s="4" t="str">
        <f t="shared" si="0"/>
        <v/>
      </c>
      <c r="O34" s="4"/>
      <c r="P34" s="4"/>
      <c r="Q34" s="4"/>
      <c r="R34" s="4"/>
      <c r="S34" s="4"/>
      <c r="T34" s="4"/>
      <c r="U34" s="2"/>
      <c r="V34" s="5"/>
      <c r="W34" s="5"/>
      <c r="X34" s="5"/>
      <c r="Y34" s="5"/>
      <c r="Z34" s="5"/>
    </row>
    <row r="35" spans="1:26">
      <c r="A35" s="2">
        <v>29</v>
      </c>
      <c r="B35" s="3"/>
      <c r="C35" s="2" t="s">
        <v>64</v>
      </c>
      <c r="D35" s="2"/>
      <c r="E35" s="2"/>
      <c r="F35" s="2" t="s">
        <v>36</v>
      </c>
      <c r="G35" s="2"/>
      <c r="H35" s="2"/>
      <c r="I35" s="2"/>
      <c r="J35" s="4"/>
      <c r="K35" s="4"/>
      <c r="L35" s="4"/>
      <c r="M35" s="4"/>
      <c r="N35" s="4" t="str">
        <f t="shared" si="0"/>
        <v/>
      </c>
      <c r="O35" s="4"/>
      <c r="P35" s="4"/>
      <c r="Q35" s="4"/>
      <c r="R35" s="4"/>
      <c r="S35" s="4"/>
      <c r="T35" s="4"/>
      <c r="U35" s="2"/>
      <c r="V35" s="5"/>
      <c r="W35" s="5"/>
      <c r="X35" s="5"/>
      <c r="Y35" s="5"/>
      <c r="Z35" s="5"/>
    </row>
    <row r="36" spans="1:26">
      <c r="A36" s="2">
        <v>30</v>
      </c>
      <c r="B36" s="3"/>
      <c r="C36" s="2" t="s">
        <v>65</v>
      </c>
      <c r="D36" s="2"/>
      <c r="E36" s="2"/>
      <c r="F36" s="2" t="s">
        <v>36</v>
      </c>
      <c r="G36" s="2"/>
      <c r="H36" s="2"/>
      <c r="I36" s="2"/>
      <c r="J36" s="4"/>
      <c r="K36" s="4"/>
      <c r="L36" s="4"/>
      <c r="M36" s="4"/>
      <c r="N36" s="4" t="str">
        <f t="shared" si="0"/>
        <v/>
      </c>
      <c r="O36" s="4"/>
      <c r="P36" s="4"/>
      <c r="Q36" s="4"/>
      <c r="R36" s="4"/>
      <c r="S36" s="4"/>
      <c r="T36" s="4"/>
      <c r="U36" s="2"/>
      <c r="V36" s="5"/>
      <c r="W36" s="5"/>
      <c r="X36" s="5"/>
      <c r="Y36" s="5"/>
      <c r="Z36" s="5"/>
    </row>
    <row r="37" spans="1:26">
      <c r="A37" s="2">
        <v>31</v>
      </c>
      <c r="B37" s="3"/>
      <c r="C37" s="2" t="s">
        <v>66</v>
      </c>
      <c r="D37" s="2"/>
      <c r="E37" s="2"/>
      <c r="F37" s="2" t="s">
        <v>36</v>
      </c>
      <c r="G37" s="2"/>
      <c r="H37" s="2"/>
      <c r="I37" s="2"/>
      <c r="J37" s="4"/>
      <c r="K37" s="4"/>
      <c r="L37" s="4"/>
      <c r="M37" s="4"/>
      <c r="N37" s="4" t="str">
        <f t="shared" si="0"/>
        <v/>
      </c>
      <c r="O37" s="4"/>
      <c r="P37" s="4"/>
      <c r="Q37" s="4"/>
      <c r="R37" s="4"/>
      <c r="S37" s="4"/>
      <c r="T37" s="4"/>
      <c r="U37" s="2"/>
      <c r="V37" s="5"/>
      <c r="W37" s="5"/>
      <c r="X37" s="5"/>
      <c r="Y37" s="5"/>
      <c r="Z37" s="5"/>
    </row>
    <row r="38" spans="1:26">
      <c r="A38" s="2">
        <v>32</v>
      </c>
      <c r="B38" s="3"/>
      <c r="C38" s="2" t="s">
        <v>67</v>
      </c>
      <c r="D38" s="2"/>
      <c r="E38" s="2"/>
      <c r="F38" s="2" t="s">
        <v>36</v>
      </c>
      <c r="G38" s="2"/>
      <c r="H38" s="2"/>
      <c r="I38" s="2"/>
      <c r="J38" s="4"/>
      <c r="K38" s="4"/>
      <c r="L38" s="4"/>
      <c r="M38" s="4"/>
      <c r="N38" s="4" t="str">
        <f t="shared" si="0"/>
        <v/>
      </c>
      <c r="O38" s="4"/>
      <c r="P38" s="4"/>
      <c r="Q38" s="4"/>
      <c r="R38" s="4"/>
      <c r="S38" s="4"/>
      <c r="T38" s="4"/>
      <c r="U38" s="2"/>
      <c r="V38" s="5"/>
      <c r="W38" s="5"/>
      <c r="X38" s="5"/>
      <c r="Y38" s="5"/>
      <c r="Z38" s="5"/>
    </row>
    <row r="39" spans="1:26">
      <c r="A39" s="2">
        <v>33</v>
      </c>
      <c r="B39" s="3"/>
      <c r="C39" s="2" t="s">
        <v>68</v>
      </c>
      <c r="D39" s="2"/>
      <c r="E39" s="2"/>
      <c r="F39" s="2" t="s">
        <v>36</v>
      </c>
      <c r="G39" s="2"/>
      <c r="H39" s="2"/>
      <c r="I39" s="2"/>
      <c r="J39" s="4"/>
      <c r="K39" s="4"/>
      <c r="L39" s="4"/>
      <c r="M39" s="4"/>
      <c r="N39" s="4" t="str">
        <f t="shared" ref="N39:N70" si="1">IF(COUNTA(K39:M39)=0,"",SUM(K39:M39))</f>
        <v/>
      </c>
      <c r="O39" s="4"/>
      <c r="P39" s="4"/>
      <c r="Q39" s="4"/>
      <c r="R39" s="4"/>
      <c r="S39" s="4"/>
      <c r="T39" s="4"/>
      <c r="U39" s="2"/>
      <c r="V39" s="5"/>
      <c r="W39" s="5"/>
      <c r="X39" s="5"/>
      <c r="Y39" s="5"/>
      <c r="Z39" s="5"/>
    </row>
    <row r="40" spans="1:26">
      <c r="A40" s="2">
        <v>34</v>
      </c>
      <c r="B40" s="3"/>
      <c r="C40" s="2" t="s">
        <v>69</v>
      </c>
      <c r="D40" s="2"/>
      <c r="E40" s="2"/>
      <c r="F40" s="2" t="s">
        <v>36</v>
      </c>
      <c r="G40" s="2"/>
      <c r="H40" s="2"/>
      <c r="I40" s="2"/>
      <c r="J40" s="4"/>
      <c r="K40" s="4"/>
      <c r="L40" s="4"/>
      <c r="M40" s="4"/>
      <c r="N40" s="4" t="str">
        <f t="shared" si="1"/>
        <v/>
      </c>
      <c r="O40" s="4"/>
      <c r="P40" s="4"/>
      <c r="Q40" s="4"/>
      <c r="R40" s="4"/>
      <c r="S40" s="4"/>
      <c r="T40" s="4"/>
      <c r="U40" s="2"/>
      <c r="V40" s="5"/>
      <c r="W40" s="5"/>
      <c r="X40" s="5"/>
      <c r="Y40" s="5"/>
      <c r="Z40" s="5"/>
    </row>
    <row r="41" spans="1:26">
      <c r="A41" s="2">
        <v>35</v>
      </c>
      <c r="B41" s="3"/>
      <c r="C41" s="2" t="s">
        <v>70</v>
      </c>
      <c r="D41" s="2"/>
      <c r="E41" s="2"/>
      <c r="F41" s="2" t="s">
        <v>36</v>
      </c>
      <c r="G41" s="2"/>
      <c r="H41" s="2"/>
      <c r="I41" s="2"/>
      <c r="J41" s="4"/>
      <c r="K41" s="4"/>
      <c r="L41" s="4"/>
      <c r="M41" s="4"/>
      <c r="N41" s="4" t="str">
        <f t="shared" si="1"/>
        <v/>
      </c>
      <c r="O41" s="4"/>
      <c r="P41" s="4"/>
      <c r="Q41" s="4"/>
      <c r="R41" s="4"/>
      <c r="S41" s="4"/>
      <c r="T41" s="4"/>
      <c r="U41" s="2"/>
      <c r="V41" s="5"/>
      <c r="W41" s="5"/>
      <c r="X41" s="5"/>
      <c r="Y41" s="5"/>
      <c r="Z41" s="5"/>
    </row>
    <row r="42" spans="1:26">
      <c r="A42" s="2">
        <v>36</v>
      </c>
      <c r="B42" s="3"/>
      <c r="C42" s="2" t="s">
        <v>71</v>
      </c>
      <c r="D42" s="2"/>
      <c r="E42" s="2"/>
      <c r="F42" s="2" t="s">
        <v>36</v>
      </c>
      <c r="G42" s="2"/>
      <c r="H42" s="2"/>
      <c r="I42" s="2"/>
      <c r="J42" s="4"/>
      <c r="K42" s="4"/>
      <c r="L42" s="4"/>
      <c r="M42" s="4"/>
      <c r="N42" s="4" t="str">
        <f t="shared" si="1"/>
        <v/>
      </c>
      <c r="O42" s="4"/>
      <c r="P42" s="4"/>
      <c r="Q42" s="4"/>
      <c r="R42" s="4"/>
      <c r="S42" s="4"/>
      <c r="T42" s="4"/>
      <c r="U42" s="2"/>
      <c r="V42" s="5"/>
      <c r="W42" s="5"/>
      <c r="X42" s="5"/>
      <c r="Y42" s="5"/>
      <c r="Z42" s="5"/>
    </row>
    <row r="43" spans="1:26">
      <c r="A43" s="2">
        <v>37</v>
      </c>
      <c r="B43" s="3"/>
      <c r="C43" s="2" t="s">
        <v>72</v>
      </c>
      <c r="D43" s="2"/>
      <c r="E43" s="2"/>
      <c r="F43" s="2" t="s">
        <v>36</v>
      </c>
      <c r="G43" s="2"/>
      <c r="H43" s="2"/>
      <c r="I43" s="2"/>
      <c r="J43" s="4"/>
      <c r="K43" s="4"/>
      <c r="L43" s="4"/>
      <c r="M43" s="4"/>
      <c r="N43" s="4" t="str">
        <f t="shared" si="1"/>
        <v/>
      </c>
      <c r="O43" s="4"/>
      <c r="P43" s="4"/>
      <c r="Q43" s="4"/>
      <c r="R43" s="4"/>
      <c r="S43" s="4"/>
      <c r="T43" s="4"/>
      <c r="U43" s="2"/>
      <c r="V43" s="5"/>
      <c r="W43" s="5"/>
      <c r="X43" s="5"/>
      <c r="Y43" s="5"/>
      <c r="Z43" s="5"/>
    </row>
    <row r="44" spans="1:26">
      <c r="A44" s="2">
        <v>38</v>
      </c>
      <c r="B44" s="3"/>
      <c r="C44" s="2" t="s">
        <v>73</v>
      </c>
      <c r="D44" s="2"/>
      <c r="E44" s="2"/>
      <c r="F44" s="2" t="s">
        <v>36</v>
      </c>
      <c r="G44" s="2"/>
      <c r="H44" s="2"/>
      <c r="I44" s="2"/>
      <c r="J44" s="4"/>
      <c r="K44" s="4"/>
      <c r="L44" s="4"/>
      <c r="M44" s="4"/>
      <c r="N44" s="4" t="str">
        <f t="shared" si="1"/>
        <v/>
      </c>
      <c r="O44" s="4"/>
      <c r="P44" s="4"/>
      <c r="Q44" s="4"/>
      <c r="R44" s="4"/>
      <c r="S44" s="4"/>
      <c r="T44" s="4"/>
      <c r="U44" s="2"/>
      <c r="V44" s="5"/>
      <c r="W44" s="5"/>
      <c r="X44" s="5"/>
      <c r="Y44" s="5"/>
      <c r="Z44" s="5"/>
    </row>
    <row r="45" spans="1:26">
      <c r="A45" s="2">
        <v>39</v>
      </c>
      <c r="B45" s="3"/>
      <c r="C45" s="2" t="s">
        <v>74</v>
      </c>
      <c r="D45" s="2"/>
      <c r="E45" s="2"/>
      <c r="F45" s="2" t="s">
        <v>36</v>
      </c>
      <c r="G45" s="2"/>
      <c r="H45" s="2"/>
      <c r="I45" s="2"/>
      <c r="J45" s="4"/>
      <c r="K45" s="4"/>
      <c r="L45" s="4"/>
      <c r="M45" s="4"/>
      <c r="N45" s="4" t="str">
        <f t="shared" si="1"/>
        <v/>
      </c>
      <c r="O45" s="4"/>
      <c r="P45" s="4"/>
      <c r="Q45" s="4"/>
      <c r="R45" s="4"/>
      <c r="S45" s="4"/>
      <c r="T45" s="4"/>
      <c r="U45" s="2"/>
      <c r="V45" s="5"/>
      <c r="W45" s="5"/>
      <c r="X45" s="5"/>
      <c r="Y45" s="5"/>
      <c r="Z45" s="5"/>
    </row>
    <row r="46" spans="1:26">
      <c r="A46" s="2">
        <v>40</v>
      </c>
      <c r="B46" s="3"/>
      <c r="C46" s="2" t="s">
        <v>75</v>
      </c>
      <c r="D46" s="2"/>
      <c r="E46" s="2"/>
      <c r="F46" s="2" t="s">
        <v>36</v>
      </c>
      <c r="G46" s="2"/>
      <c r="H46" s="2"/>
      <c r="I46" s="2"/>
      <c r="J46" s="4"/>
      <c r="K46" s="4"/>
      <c r="L46" s="4"/>
      <c r="M46" s="4"/>
      <c r="N46" s="4" t="str">
        <f t="shared" si="1"/>
        <v/>
      </c>
      <c r="O46" s="4"/>
      <c r="P46" s="4"/>
      <c r="Q46" s="4"/>
      <c r="R46" s="4"/>
      <c r="S46" s="4"/>
      <c r="T46" s="4"/>
      <c r="U46" s="2"/>
      <c r="V46" s="5"/>
      <c r="W46" s="5"/>
      <c r="X46" s="5"/>
      <c r="Y46" s="5"/>
      <c r="Z46" s="5"/>
    </row>
    <row r="47" spans="1:26">
      <c r="A47" s="2">
        <v>41</v>
      </c>
      <c r="B47" s="3"/>
      <c r="C47" s="2" t="s">
        <v>76</v>
      </c>
      <c r="D47" s="2"/>
      <c r="E47" s="2"/>
      <c r="F47" s="2" t="s">
        <v>36</v>
      </c>
      <c r="G47" s="2"/>
      <c r="H47" s="2"/>
      <c r="I47" s="2"/>
      <c r="J47" s="4"/>
      <c r="K47" s="4"/>
      <c r="L47" s="4"/>
      <c r="M47" s="4"/>
      <c r="N47" s="4" t="str">
        <f t="shared" si="1"/>
        <v/>
      </c>
      <c r="O47" s="4"/>
      <c r="P47" s="4"/>
      <c r="Q47" s="4"/>
      <c r="R47" s="4"/>
      <c r="S47" s="4"/>
      <c r="T47" s="4"/>
      <c r="U47" s="2"/>
      <c r="V47" s="5"/>
      <c r="W47" s="5"/>
      <c r="X47" s="5"/>
      <c r="Y47" s="5"/>
      <c r="Z47" s="5"/>
    </row>
    <row r="48" spans="1:26">
      <c r="A48" s="2">
        <v>42</v>
      </c>
      <c r="B48" s="3"/>
      <c r="C48" s="2" t="s">
        <v>77</v>
      </c>
      <c r="D48" s="2"/>
      <c r="E48" s="2"/>
      <c r="F48" s="2" t="s">
        <v>36</v>
      </c>
      <c r="G48" s="2"/>
      <c r="H48" s="2"/>
      <c r="I48" s="2"/>
      <c r="J48" s="4"/>
      <c r="K48" s="4"/>
      <c r="L48" s="4"/>
      <c r="M48" s="4"/>
      <c r="N48" s="4" t="str">
        <f t="shared" si="1"/>
        <v/>
      </c>
      <c r="O48" s="4"/>
      <c r="P48" s="4"/>
      <c r="Q48" s="4"/>
      <c r="R48" s="4"/>
      <c r="S48" s="4"/>
      <c r="T48" s="4"/>
      <c r="U48" s="2"/>
      <c r="V48" s="5"/>
      <c r="W48" s="5"/>
      <c r="X48" s="5"/>
      <c r="Y48" s="5"/>
      <c r="Z48" s="5"/>
    </row>
    <row r="49" spans="1:26">
      <c r="A49" s="2">
        <v>43</v>
      </c>
      <c r="B49" s="3"/>
      <c r="C49" s="2" t="s">
        <v>78</v>
      </c>
      <c r="D49" s="2"/>
      <c r="E49" s="2"/>
      <c r="F49" s="2" t="s">
        <v>36</v>
      </c>
      <c r="G49" s="2"/>
      <c r="H49" s="2"/>
      <c r="I49" s="2"/>
      <c r="J49" s="4"/>
      <c r="K49" s="4"/>
      <c r="L49" s="4"/>
      <c r="M49" s="4"/>
      <c r="N49" s="4" t="str">
        <f t="shared" si="1"/>
        <v/>
      </c>
      <c r="O49" s="4"/>
      <c r="P49" s="4"/>
      <c r="Q49" s="4"/>
      <c r="R49" s="4"/>
      <c r="S49" s="4"/>
      <c r="T49" s="4"/>
      <c r="U49" s="2"/>
      <c r="V49" s="5"/>
      <c r="W49" s="5"/>
      <c r="X49" s="5"/>
      <c r="Y49" s="5"/>
      <c r="Z49" s="5"/>
    </row>
    <row r="50" spans="1:26">
      <c r="A50" s="2">
        <v>44</v>
      </c>
      <c r="B50" s="3"/>
      <c r="C50" s="2" t="s">
        <v>79</v>
      </c>
      <c r="D50" s="2"/>
      <c r="E50" s="2"/>
      <c r="F50" s="2" t="s">
        <v>36</v>
      </c>
      <c r="G50" s="2"/>
      <c r="H50" s="2"/>
      <c r="I50" s="2"/>
      <c r="J50" s="4"/>
      <c r="K50" s="4"/>
      <c r="L50" s="4"/>
      <c r="M50" s="4"/>
      <c r="N50" s="4" t="str">
        <f t="shared" si="1"/>
        <v/>
      </c>
      <c r="O50" s="4"/>
      <c r="P50" s="4"/>
      <c r="Q50" s="4"/>
      <c r="R50" s="4"/>
      <c r="S50" s="4"/>
      <c r="T50" s="4"/>
      <c r="U50" s="2"/>
      <c r="V50" s="5"/>
      <c r="W50" s="5"/>
      <c r="X50" s="5"/>
      <c r="Y50" s="5"/>
      <c r="Z50" s="5"/>
    </row>
    <row r="51" spans="1:26">
      <c r="A51" s="2">
        <v>45</v>
      </c>
      <c r="B51" s="3"/>
      <c r="C51" s="2" t="s">
        <v>80</v>
      </c>
      <c r="D51" s="2"/>
      <c r="E51" s="2"/>
      <c r="F51" s="2" t="s">
        <v>36</v>
      </c>
      <c r="G51" s="2"/>
      <c r="H51" s="2"/>
      <c r="I51" s="2"/>
      <c r="J51" s="4"/>
      <c r="K51" s="4"/>
      <c r="L51" s="4"/>
      <c r="M51" s="4"/>
      <c r="N51" s="4" t="str">
        <f t="shared" si="1"/>
        <v/>
      </c>
      <c r="O51" s="4"/>
      <c r="P51" s="4"/>
      <c r="Q51" s="4"/>
      <c r="R51" s="4"/>
      <c r="S51" s="4"/>
      <c r="T51" s="4"/>
      <c r="U51" s="2"/>
      <c r="V51" s="5"/>
      <c r="W51" s="5"/>
      <c r="X51" s="5"/>
      <c r="Y51" s="5"/>
      <c r="Z51" s="5"/>
    </row>
    <row r="52" spans="1:26">
      <c r="A52" s="2">
        <v>46</v>
      </c>
      <c r="B52" s="3"/>
      <c r="C52" s="2" t="s">
        <v>81</v>
      </c>
      <c r="D52" s="2"/>
      <c r="E52" s="2"/>
      <c r="F52" s="2" t="s">
        <v>36</v>
      </c>
      <c r="G52" s="2"/>
      <c r="H52" s="2"/>
      <c r="I52" s="2"/>
      <c r="J52" s="4"/>
      <c r="K52" s="4"/>
      <c r="L52" s="4"/>
      <c r="M52" s="4"/>
      <c r="N52" s="4" t="str">
        <f t="shared" si="1"/>
        <v/>
      </c>
      <c r="O52" s="4"/>
      <c r="P52" s="4"/>
      <c r="Q52" s="4"/>
      <c r="R52" s="4"/>
      <c r="S52" s="4"/>
      <c r="T52" s="4"/>
      <c r="U52" s="2"/>
      <c r="V52" s="5"/>
      <c r="W52" s="5"/>
      <c r="X52" s="5"/>
      <c r="Y52" s="5"/>
      <c r="Z52" s="5"/>
    </row>
    <row r="53" spans="1:26">
      <c r="A53" s="2">
        <v>47</v>
      </c>
      <c r="B53" s="3"/>
      <c r="C53" s="2" t="s">
        <v>82</v>
      </c>
      <c r="D53" s="2"/>
      <c r="E53" s="2"/>
      <c r="F53" s="2" t="s">
        <v>36</v>
      </c>
      <c r="G53" s="2"/>
      <c r="H53" s="2"/>
      <c r="I53" s="2"/>
      <c r="J53" s="4"/>
      <c r="K53" s="4"/>
      <c r="L53" s="4"/>
      <c r="M53" s="4"/>
      <c r="N53" s="4" t="str">
        <f t="shared" si="1"/>
        <v/>
      </c>
      <c r="O53" s="4"/>
      <c r="P53" s="4"/>
      <c r="Q53" s="4"/>
      <c r="R53" s="4"/>
      <c r="S53" s="4"/>
      <c r="T53" s="4"/>
      <c r="U53" s="2"/>
      <c r="V53" s="5"/>
      <c r="W53" s="5"/>
      <c r="X53" s="5"/>
      <c r="Y53" s="5"/>
      <c r="Z53" s="5"/>
    </row>
    <row r="54" spans="1:26">
      <c r="A54" s="2">
        <v>48</v>
      </c>
      <c r="B54" s="3"/>
      <c r="C54" s="2" t="s">
        <v>83</v>
      </c>
      <c r="D54" s="2"/>
      <c r="E54" s="2"/>
      <c r="F54" s="2" t="s">
        <v>36</v>
      </c>
      <c r="G54" s="2"/>
      <c r="H54" s="2"/>
      <c r="I54" s="2"/>
      <c r="J54" s="4"/>
      <c r="K54" s="4"/>
      <c r="L54" s="4"/>
      <c r="M54" s="4"/>
      <c r="N54" s="4" t="str">
        <f t="shared" si="1"/>
        <v/>
      </c>
      <c r="O54" s="4"/>
      <c r="P54" s="4"/>
      <c r="Q54" s="4"/>
      <c r="R54" s="4"/>
      <c r="S54" s="4"/>
      <c r="T54" s="4"/>
      <c r="U54" s="2"/>
      <c r="V54" s="5"/>
      <c r="W54" s="5"/>
      <c r="X54" s="5"/>
      <c r="Y54" s="5"/>
      <c r="Z54" s="5"/>
    </row>
    <row r="55" spans="1:26">
      <c r="A55" s="2">
        <v>49</v>
      </c>
      <c r="B55" s="3"/>
      <c r="C55" s="2" t="s">
        <v>84</v>
      </c>
      <c r="D55" s="2"/>
      <c r="E55" s="2"/>
      <c r="F55" s="2" t="s">
        <v>36</v>
      </c>
      <c r="G55" s="2"/>
      <c r="H55" s="2"/>
      <c r="I55" s="2"/>
      <c r="J55" s="4"/>
      <c r="K55" s="4"/>
      <c r="L55" s="4"/>
      <c r="M55" s="4"/>
      <c r="N55" s="4" t="str">
        <f t="shared" si="1"/>
        <v/>
      </c>
      <c r="O55" s="4"/>
      <c r="P55" s="4"/>
      <c r="Q55" s="4"/>
      <c r="R55" s="4"/>
      <c r="S55" s="4"/>
      <c r="T55" s="4"/>
      <c r="U55" s="2"/>
      <c r="V55" s="5"/>
      <c r="W55" s="5"/>
      <c r="X55" s="5"/>
      <c r="Y55" s="5"/>
      <c r="Z55" s="5"/>
    </row>
    <row r="56" spans="1:26">
      <c r="A56" s="2">
        <v>50</v>
      </c>
      <c r="B56" s="3"/>
      <c r="C56" s="2" t="s">
        <v>85</v>
      </c>
      <c r="D56" s="2"/>
      <c r="E56" s="2"/>
      <c r="F56" s="2" t="s">
        <v>36</v>
      </c>
      <c r="G56" s="2"/>
      <c r="H56" s="2"/>
      <c r="I56" s="2"/>
      <c r="J56" s="4"/>
      <c r="K56" s="4"/>
      <c r="L56" s="4"/>
      <c r="M56" s="4"/>
      <c r="N56" s="4" t="str">
        <f t="shared" si="1"/>
        <v/>
      </c>
      <c r="O56" s="4"/>
      <c r="P56" s="4"/>
      <c r="Q56" s="4"/>
      <c r="R56" s="4"/>
      <c r="S56" s="4"/>
      <c r="T56" s="4"/>
      <c r="U56" s="2"/>
      <c r="V56" s="5"/>
      <c r="W56" s="5"/>
      <c r="X56" s="5"/>
      <c r="Y56" s="5"/>
      <c r="Z56" s="5"/>
    </row>
    <row r="57" spans="1:26">
      <c r="A57" s="2">
        <v>51</v>
      </c>
      <c r="B57" s="3"/>
      <c r="C57" s="2" t="s">
        <v>86</v>
      </c>
      <c r="D57" s="2"/>
      <c r="E57" s="2"/>
      <c r="F57" s="2" t="s">
        <v>36</v>
      </c>
      <c r="G57" s="2"/>
      <c r="H57" s="2"/>
      <c r="I57" s="2"/>
      <c r="J57" s="4"/>
      <c r="K57" s="4"/>
      <c r="L57" s="4"/>
      <c r="M57" s="4"/>
      <c r="N57" s="4" t="str">
        <f t="shared" si="1"/>
        <v/>
      </c>
      <c r="O57" s="4"/>
      <c r="P57" s="4"/>
      <c r="Q57" s="4"/>
      <c r="R57" s="4"/>
      <c r="S57" s="4"/>
      <c r="T57" s="4"/>
      <c r="U57" s="2"/>
      <c r="V57" s="5"/>
      <c r="W57" s="5"/>
      <c r="X57" s="5"/>
      <c r="Y57" s="5"/>
      <c r="Z57" s="5"/>
    </row>
    <row r="58" spans="1:26">
      <c r="A58" s="2">
        <v>52</v>
      </c>
      <c r="B58" s="3"/>
      <c r="C58" s="2" t="s">
        <v>87</v>
      </c>
      <c r="D58" s="2"/>
      <c r="E58" s="2"/>
      <c r="F58" s="2" t="s">
        <v>36</v>
      </c>
      <c r="G58" s="2"/>
      <c r="H58" s="2"/>
      <c r="I58" s="2"/>
      <c r="J58" s="4"/>
      <c r="K58" s="4"/>
      <c r="L58" s="4"/>
      <c r="M58" s="4"/>
      <c r="N58" s="4" t="str">
        <f t="shared" si="1"/>
        <v/>
      </c>
      <c r="O58" s="4"/>
      <c r="P58" s="4"/>
      <c r="Q58" s="4"/>
      <c r="R58" s="4"/>
      <c r="S58" s="4"/>
      <c r="T58" s="4"/>
      <c r="U58" s="2"/>
      <c r="V58" s="5"/>
      <c r="W58" s="5"/>
      <c r="X58" s="5"/>
      <c r="Y58" s="5"/>
      <c r="Z58" s="5"/>
    </row>
    <row r="59" spans="1:26">
      <c r="A59" s="2">
        <v>53</v>
      </c>
      <c r="B59" s="3"/>
      <c r="C59" s="2" t="s">
        <v>88</v>
      </c>
      <c r="D59" s="2"/>
      <c r="E59" s="2"/>
      <c r="F59" s="2" t="s">
        <v>36</v>
      </c>
      <c r="G59" s="2"/>
      <c r="H59" s="2"/>
      <c r="I59" s="2"/>
      <c r="J59" s="4"/>
      <c r="K59" s="4"/>
      <c r="L59" s="4"/>
      <c r="M59" s="4"/>
      <c r="N59" s="4" t="str">
        <f t="shared" si="1"/>
        <v/>
      </c>
      <c r="O59" s="4"/>
      <c r="P59" s="4"/>
      <c r="Q59" s="4"/>
      <c r="R59" s="4"/>
      <c r="S59" s="4"/>
      <c r="T59" s="4"/>
      <c r="U59" s="2"/>
      <c r="V59" s="5"/>
      <c r="W59" s="5"/>
      <c r="X59" s="5"/>
      <c r="Y59" s="5"/>
      <c r="Z59" s="5"/>
    </row>
    <row r="60" spans="1:26">
      <c r="A60" s="2">
        <v>54</v>
      </c>
      <c r="B60" s="3"/>
      <c r="C60" s="2" t="s">
        <v>89</v>
      </c>
      <c r="D60" s="2"/>
      <c r="E60" s="2"/>
      <c r="F60" s="2" t="s">
        <v>36</v>
      </c>
      <c r="G60" s="2"/>
      <c r="H60" s="2"/>
      <c r="I60" s="2"/>
      <c r="J60" s="4"/>
      <c r="K60" s="4"/>
      <c r="L60" s="4"/>
      <c r="M60" s="4"/>
      <c r="N60" s="4" t="str">
        <f t="shared" si="1"/>
        <v/>
      </c>
      <c r="O60" s="4"/>
      <c r="P60" s="4"/>
      <c r="Q60" s="4"/>
      <c r="R60" s="4"/>
      <c r="S60" s="4"/>
      <c r="T60" s="4"/>
      <c r="U60" s="2"/>
      <c r="V60" s="5"/>
      <c r="W60" s="5"/>
      <c r="X60" s="5"/>
      <c r="Y60" s="5"/>
      <c r="Z60" s="5"/>
    </row>
    <row r="61" spans="1:26">
      <c r="A61" s="2">
        <v>55</v>
      </c>
      <c r="B61" s="3"/>
      <c r="C61" s="2" t="s">
        <v>90</v>
      </c>
      <c r="D61" s="2"/>
      <c r="E61" s="2"/>
      <c r="F61" s="2" t="s">
        <v>36</v>
      </c>
      <c r="G61" s="2"/>
      <c r="H61" s="2"/>
      <c r="I61" s="2"/>
      <c r="J61" s="4"/>
      <c r="K61" s="4"/>
      <c r="L61" s="4"/>
      <c r="M61" s="4"/>
      <c r="N61" s="4" t="str">
        <f t="shared" si="1"/>
        <v/>
      </c>
      <c r="O61" s="4"/>
      <c r="P61" s="4"/>
      <c r="Q61" s="4"/>
      <c r="R61" s="4"/>
      <c r="S61" s="4"/>
      <c r="T61" s="4"/>
      <c r="U61" s="2"/>
      <c r="V61" s="5"/>
      <c r="W61" s="5"/>
      <c r="X61" s="5"/>
      <c r="Y61" s="5"/>
      <c r="Z61" s="5"/>
    </row>
    <row r="62" spans="1:26">
      <c r="A62" s="2">
        <v>56</v>
      </c>
      <c r="B62" s="3"/>
      <c r="C62" s="2" t="s">
        <v>91</v>
      </c>
      <c r="D62" s="2"/>
      <c r="E62" s="2"/>
      <c r="F62" s="2" t="s">
        <v>36</v>
      </c>
      <c r="G62" s="2"/>
      <c r="H62" s="2"/>
      <c r="I62" s="2"/>
      <c r="J62" s="4"/>
      <c r="K62" s="4"/>
      <c r="L62" s="4"/>
      <c r="M62" s="4"/>
      <c r="N62" s="4" t="str">
        <f t="shared" si="1"/>
        <v/>
      </c>
      <c r="O62" s="4"/>
      <c r="P62" s="4"/>
      <c r="Q62" s="4"/>
      <c r="R62" s="4"/>
      <c r="S62" s="4"/>
      <c r="T62" s="4"/>
      <c r="U62" s="2"/>
      <c r="V62" s="5"/>
      <c r="W62" s="5"/>
      <c r="X62" s="5"/>
      <c r="Y62" s="5"/>
      <c r="Z62" s="5"/>
    </row>
    <row r="63" spans="1:26">
      <c r="A63" s="2">
        <v>57</v>
      </c>
      <c r="B63" s="3"/>
      <c r="C63" s="2" t="s">
        <v>92</v>
      </c>
      <c r="D63" s="2"/>
      <c r="E63" s="2"/>
      <c r="F63" s="2" t="s">
        <v>36</v>
      </c>
      <c r="G63" s="2"/>
      <c r="H63" s="2"/>
      <c r="I63" s="2"/>
      <c r="J63" s="4"/>
      <c r="K63" s="4"/>
      <c r="L63" s="4"/>
      <c r="M63" s="4"/>
      <c r="N63" s="4" t="str">
        <f t="shared" si="1"/>
        <v/>
      </c>
      <c r="O63" s="4"/>
      <c r="P63" s="4"/>
      <c r="Q63" s="4"/>
      <c r="R63" s="4"/>
      <c r="S63" s="4"/>
      <c r="T63" s="4"/>
      <c r="U63" s="2"/>
      <c r="V63" s="5"/>
      <c r="W63" s="5"/>
      <c r="X63" s="5"/>
      <c r="Y63" s="5"/>
      <c r="Z63" s="5"/>
    </row>
    <row r="64" spans="1:26">
      <c r="A64" s="2">
        <v>58</v>
      </c>
      <c r="B64" s="3"/>
      <c r="C64" s="2" t="s">
        <v>93</v>
      </c>
      <c r="D64" s="2"/>
      <c r="E64" s="2"/>
      <c r="F64" s="2" t="s">
        <v>36</v>
      </c>
      <c r="G64" s="2"/>
      <c r="H64" s="2"/>
      <c r="I64" s="2"/>
      <c r="J64" s="4"/>
      <c r="K64" s="4"/>
      <c r="L64" s="4"/>
      <c r="M64" s="4"/>
      <c r="N64" s="4" t="str">
        <f t="shared" si="1"/>
        <v/>
      </c>
      <c r="O64" s="4"/>
      <c r="P64" s="4"/>
      <c r="Q64" s="4"/>
      <c r="R64" s="4"/>
      <c r="S64" s="4"/>
      <c r="T64" s="4"/>
      <c r="U64" s="2"/>
      <c r="V64" s="5"/>
      <c r="W64" s="5"/>
      <c r="X64" s="5"/>
      <c r="Y64" s="5"/>
      <c r="Z64" s="5"/>
    </row>
    <row r="65" spans="1:26">
      <c r="A65" s="2">
        <v>59</v>
      </c>
      <c r="B65" s="3"/>
      <c r="C65" s="2" t="s">
        <v>94</v>
      </c>
      <c r="D65" s="2"/>
      <c r="E65" s="2"/>
      <c r="F65" s="2" t="s">
        <v>36</v>
      </c>
      <c r="G65" s="2"/>
      <c r="H65" s="2"/>
      <c r="I65" s="2"/>
      <c r="J65" s="4"/>
      <c r="K65" s="4"/>
      <c r="L65" s="4"/>
      <c r="M65" s="4"/>
      <c r="N65" s="4" t="str">
        <f t="shared" si="1"/>
        <v/>
      </c>
      <c r="O65" s="4"/>
      <c r="P65" s="4"/>
      <c r="Q65" s="4"/>
      <c r="R65" s="4"/>
      <c r="S65" s="4"/>
      <c r="T65" s="4"/>
      <c r="U65" s="2"/>
      <c r="V65" s="5"/>
      <c r="W65" s="5"/>
      <c r="X65" s="5"/>
      <c r="Y65" s="5"/>
      <c r="Z65" s="5"/>
    </row>
    <row r="66" spans="1:26">
      <c r="A66" s="2">
        <v>60</v>
      </c>
      <c r="B66" s="3"/>
      <c r="C66" s="2" t="s">
        <v>95</v>
      </c>
      <c r="D66" s="2"/>
      <c r="E66" s="2"/>
      <c r="F66" s="2" t="s">
        <v>36</v>
      </c>
      <c r="G66" s="2"/>
      <c r="H66" s="2"/>
      <c r="I66" s="2"/>
      <c r="J66" s="4"/>
      <c r="K66" s="4"/>
      <c r="L66" s="4"/>
      <c r="M66" s="4"/>
      <c r="N66" s="4" t="str">
        <f t="shared" si="1"/>
        <v/>
      </c>
      <c r="O66" s="4"/>
      <c r="P66" s="4"/>
      <c r="Q66" s="4"/>
      <c r="R66" s="4"/>
      <c r="S66" s="4"/>
      <c r="T66" s="4"/>
      <c r="U66" s="2"/>
      <c r="V66" s="5"/>
      <c r="W66" s="5"/>
      <c r="X66" s="5"/>
      <c r="Y66" s="5"/>
      <c r="Z66" s="5"/>
    </row>
    <row r="67" spans="1:26">
      <c r="A67" s="2">
        <v>61</v>
      </c>
      <c r="B67" s="3"/>
      <c r="C67" s="2" t="s">
        <v>96</v>
      </c>
      <c r="D67" s="2"/>
      <c r="E67" s="2"/>
      <c r="F67" s="2" t="s">
        <v>36</v>
      </c>
      <c r="G67" s="2"/>
      <c r="H67" s="2"/>
      <c r="I67" s="2"/>
      <c r="J67" s="4"/>
      <c r="K67" s="4"/>
      <c r="L67" s="4"/>
      <c r="M67" s="4"/>
      <c r="N67" s="4" t="str">
        <f t="shared" si="1"/>
        <v/>
      </c>
      <c r="O67" s="4"/>
      <c r="P67" s="4"/>
      <c r="Q67" s="4"/>
      <c r="R67" s="4"/>
      <c r="S67" s="4"/>
      <c r="T67" s="4"/>
      <c r="U67" s="2"/>
      <c r="V67" s="5"/>
      <c r="W67" s="5"/>
      <c r="X67" s="5"/>
      <c r="Y67" s="5"/>
      <c r="Z67" s="5"/>
    </row>
    <row r="68" spans="1:26">
      <c r="A68" s="2">
        <v>62</v>
      </c>
      <c r="B68" s="3"/>
      <c r="C68" s="2" t="s">
        <v>97</v>
      </c>
      <c r="D68" s="2"/>
      <c r="E68" s="2"/>
      <c r="F68" s="2" t="s">
        <v>36</v>
      </c>
      <c r="G68" s="2"/>
      <c r="H68" s="2"/>
      <c r="I68" s="2"/>
      <c r="J68" s="4"/>
      <c r="K68" s="4"/>
      <c r="L68" s="4"/>
      <c r="M68" s="4"/>
      <c r="N68" s="4" t="str">
        <f t="shared" si="1"/>
        <v/>
      </c>
      <c r="O68" s="4"/>
      <c r="P68" s="4"/>
      <c r="Q68" s="4"/>
      <c r="R68" s="4"/>
      <c r="S68" s="4"/>
      <c r="T68" s="4"/>
      <c r="U68" s="2"/>
      <c r="V68" s="5"/>
      <c r="W68" s="5"/>
      <c r="X68" s="5"/>
      <c r="Y68" s="5"/>
      <c r="Z68" s="5"/>
    </row>
    <row r="69" spans="1:26">
      <c r="A69" s="2">
        <v>63</v>
      </c>
      <c r="B69" s="3"/>
      <c r="C69" s="2" t="s">
        <v>98</v>
      </c>
      <c r="D69" s="2"/>
      <c r="E69" s="2"/>
      <c r="F69" s="2" t="s">
        <v>36</v>
      </c>
      <c r="G69" s="2"/>
      <c r="H69" s="2"/>
      <c r="I69" s="2"/>
      <c r="J69" s="4"/>
      <c r="K69" s="4"/>
      <c r="L69" s="4"/>
      <c r="M69" s="4"/>
      <c r="N69" s="4" t="str">
        <f t="shared" si="1"/>
        <v/>
      </c>
      <c r="O69" s="4"/>
      <c r="P69" s="4"/>
      <c r="Q69" s="4"/>
      <c r="R69" s="4"/>
      <c r="S69" s="4"/>
      <c r="T69" s="4"/>
      <c r="U69" s="2"/>
      <c r="V69" s="5"/>
      <c r="W69" s="5"/>
      <c r="X69" s="5"/>
      <c r="Y69" s="5"/>
      <c r="Z69" s="5"/>
    </row>
    <row r="70" spans="1:26">
      <c r="A70" s="2">
        <v>64</v>
      </c>
      <c r="B70" s="3"/>
      <c r="C70" s="2" t="s">
        <v>99</v>
      </c>
      <c r="D70" s="2"/>
      <c r="E70" s="2"/>
      <c r="F70" s="2" t="s">
        <v>36</v>
      </c>
      <c r="G70" s="2"/>
      <c r="H70" s="2"/>
      <c r="I70" s="2"/>
      <c r="J70" s="4"/>
      <c r="K70" s="4"/>
      <c r="L70" s="4"/>
      <c r="M70" s="4"/>
      <c r="N70" s="4" t="str">
        <f t="shared" si="1"/>
        <v/>
      </c>
      <c r="O70" s="4"/>
      <c r="P70" s="4"/>
      <c r="Q70" s="4"/>
      <c r="R70" s="4"/>
      <c r="S70" s="4"/>
      <c r="T70" s="4"/>
      <c r="U70" s="2"/>
      <c r="V70" s="5"/>
      <c r="W70" s="5"/>
      <c r="X70" s="5"/>
      <c r="Y70" s="5"/>
      <c r="Z70" s="5"/>
    </row>
    <row r="71" spans="1:26">
      <c r="A71" s="2">
        <v>65</v>
      </c>
      <c r="B71" s="3"/>
      <c r="C71" s="2" t="s">
        <v>100</v>
      </c>
      <c r="D71" s="2"/>
      <c r="E71" s="2"/>
      <c r="F71" s="2" t="s">
        <v>36</v>
      </c>
      <c r="G71" s="2"/>
      <c r="H71" s="2"/>
      <c r="I71" s="2"/>
      <c r="J71" s="4"/>
      <c r="K71" s="4"/>
      <c r="L71" s="4"/>
      <c r="M71" s="4"/>
      <c r="N71" s="4" t="str">
        <f t="shared" ref="N71:N102" si="2">IF(COUNTA(K71:M71)=0,"",SUM(K71:M71))</f>
        <v/>
      </c>
      <c r="O71" s="4"/>
      <c r="P71" s="4"/>
      <c r="Q71" s="4"/>
      <c r="R71" s="4"/>
      <c r="S71" s="4"/>
      <c r="T71" s="4"/>
      <c r="U71" s="2"/>
      <c r="V71" s="5"/>
      <c r="W71" s="5"/>
      <c r="X71" s="5"/>
      <c r="Y71" s="5"/>
      <c r="Z71" s="5"/>
    </row>
    <row r="72" spans="1:26">
      <c r="A72" s="2">
        <v>66</v>
      </c>
      <c r="B72" s="3"/>
      <c r="C72" s="2" t="s">
        <v>101</v>
      </c>
      <c r="D72" s="2"/>
      <c r="E72" s="2"/>
      <c r="F72" s="2" t="s">
        <v>36</v>
      </c>
      <c r="G72" s="2"/>
      <c r="H72" s="2"/>
      <c r="I72" s="2"/>
      <c r="J72" s="4"/>
      <c r="K72" s="4"/>
      <c r="L72" s="4"/>
      <c r="M72" s="4"/>
      <c r="N72" s="4" t="str">
        <f t="shared" si="2"/>
        <v/>
      </c>
      <c r="O72" s="4"/>
      <c r="P72" s="4"/>
      <c r="Q72" s="4"/>
      <c r="R72" s="4"/>
      <c r="S72" s="4"/>
      <c r="T72" s="4"/>
      <c r="U72" s="2"/>
      <c r="V72" s="5"/>
      <c r="W72" s="5"/>
      <c r="X72" s="5"/>
      <c r="Y72" s="5"/>
      <c r="Z72" s="5"/>
    </row>
    <row r="73" spans="1:26">
      <c r="A73" s="2">
        <v>67</v>
      </c>
      <c r="B73" s="3"/>
      <c r="C73" s="2" t="s">
        <v>102</v>
      </c>
      <c r="D73" s="2"/>
      <c r="E73" s="2"/>
      <c r="F73" s="2" t="s">
        <v>36</v>
      </c>
      <c r="G73" s="2"/>
      <c r="H73" s="2"/>
      <c r="I73" s="2"/>
      <c r="J73" s="4"/>
      <c r="K73" s="4"/>
      <c r="L73" s="4"/>
      <c r="M73" s="4"/>
      <c r="N73" s="4" t="str">
        <f t="shared" si="2"/>
        <v/>
      </c>
      <c r="O73" s="4"/>
      <c r="P73" s="4"/>
      <c r="Q73" s="4"/>
      <c r="R73" s="4"/>
      <c r="S73" s="4"/>
      <c r="T73" s="4"/>
      <c r="U73" s="2"/>
      <c r="V73" s="5"/>
      <c r="W73" s="5"/>
      <c r="X73" s="5"/>
      <c r="Y73" s="5"/>
      <c r="Z73" s="5"/>
    </row>
    <row r="74" spans="1:26">
      <c r="A74" s="2">
        <v>68</v>
      </c>
      <c r="B74" s="3"/>
      <c r="C74" s="2" t="s">
        <v>103</v>
      </c>
      <c r="D74" s="2"/>
      <c r="E74" s="2"/>
      <c r="F74" s="2" t="s">
        <v>36</v>
      </c>
      <c r="G74" s="2"/>
      <c r="H74" s="2"/>
      <c r="I74" s="2"/>
      <c r="J74" s="4"/>
      <c r="K74" s="4"/>
      <c r="L74" s="4"/>
      <c r="M74" s="4"/>
      <c r="N74" s="4" t="str">
        <f t="shared" si="2"/>
        <v/>
      </c>
      <c r="O74" s="4"/>
      <c r="P74" s="4"/>
      <c r="Q74" s="4"/>
      <c r="R74" s="4"/>
      <c r="S74" s="4"/>
      <c r="T74" s="4"/>
      <c r="U74" s="2"/>
      <c r="V74" s="5"/>
      <c r="W74" s="5"/>
      <c r="X74" s="5"/>
      <c r="Y74" s="5"/>
      <c r="Z74" s="5"/>
    </row>
    <row r="75" spans="1:26">
      <c r="A75" s="2">
        <v>69</v>
      </c>
      <c r="B75" s="3"/>
      <c r="C75" s="2" t="s">
        <v>104</v>
      </c>
      <c r="D75" s="2"/>
      <c r="E75" s="2"/>
      <c r="F75" s="2" t="s">
        <v>36</v>
      </c>
      <c r="G75" s="2"/>
      <c r="H75" s="2"/>
      <c r="I75" s="2"/>
      <c r="J75" s="4"/>
      <c r="K75" s="4"/>
      <c r="L75" s="4"/>
      <c r="M75" s="4"/>
      <c r="N75" s="4" t="str">
        <f t="shared" si="2"/>
        <v/>
      </c>
      <c r="O75" s="4"/>
      <c r="P75" s="4"/>
      <c r="Q75" s="4"/>
      <c r="R75" s="4"/>
      <c r="S75" s="4"/>
      <c r="T75" s="4"/>
      <c r="U75" s="2"/>
      <c r="V75" s="5"/>
      <c r="W75" s="5"/>
      <c r="X75" s="5"/>
      <c r="Y75" s="5"/>
      <c r="Z75" s="5"/>
    </row>
    <row r="76" spans="1:26">
      <c r="A76" s="2">
        <v>70</v>
      </c>
      <c r="B76" s="3"/>
      <c r="C76" s="2" t="s">
        <v>105</v>
      </c>
      <c r="D76" s="2"/>
      <c r="E76" s="2"/>
      <c r="F76" s="2" t="s">
        <v>36</v>
      </c>
      <c r="G76" s="2"/>
      <c r="H76" s="2"/>
      <c r="I76" s="2"/>
      <c r="J76" s="4"/>
      <c r="K76" s="4"/>
      <c r="L76" s="4"/>
      <c r="M76" s="4"/>
      <c r="N76" s="4" t="str">
        <f t="shared" si="2"/>
        <v/>
      </c>
      <c r="O76" s="4"/>
      <c r="P76" s="4"/>
      <c r="Q76" s="4"/>
      <c r="R76" s="4"/>
      <c r="S76" s="4"/>
      <c r="T76" s="4"/>
      <c r="U76" s="2"/>
      <c r="V76" s="5"/>
      <c r="W76" s="5"/>
      <c r="X76" s="5"/>
      <c r="Y76" s="5"/>
      <c r="Z76" s="5"/>
    </row>
    <row r="77" spans="1:26">
      <c r="A77" s="2">
        <v>71</v>
      </c>
      <c r="B77" s="3"/>
      <c r="C77" s="2" t="s">
        <v>106</v>
      </c>
      <c r="D77" s="2"/>
      <c r="E77" s="2"/>
      <c r="F77" s="2" t="s">
        <v>36</v>
      </c>
      <c r="G77" s="2"/>
      <c r="H77" s="2"/>
      <c r="I77" s="2"/>
      <c r="J77" s="4"/>
      <c r="K77" s="4"/>
      <c r="L77" s="4"/>
      <c r="M77" s="4"/>
      <c r="N77" s="4" t="str">
        <f t="shared" si="2"/>
        <v/>
      </c>
      <c r="O77" s="4"/>
      <c r="P77" s="4"/>
      <c r="Q77" s="4"/>
      <c r="R77" s="4"/>
      <c r="S77" s="4"/>
      <c r="T77" s="4"/>
      <c r="U77" s="2"/>
      <c r="V77" s="5"/>
      <c r="W77" s="5"/>
      <c r="X77" s="5"/>
      <c r="Y77" s="5"/>
      <c r="Z77" s="5"/>
    </row>
    <row r="78" spans="1:26">
      <c r="A78" s="2">
        <v>72</v>
      </c>
      <c r="B78" s="3"/>
      <c r="C78" s="2" t="s">
        <v>107</v>
      </c>
      <c r="D78" s="2"/>
      <c r="E78" s="2"/>
      <c r="F78" s="2" t="s">
        <v>36</v>
      </c>
      <c r="G78" s="2"/>
      <c r="H78" s="2"/>
      <c r="I78" s="2"/>
      <c r="J78" s="4"/>
      <c r="K78" s="4"/>
      <c r="L78" s="4"/>
      <c r="M78" s="4"/>
      <c r="N78" s="4" t="str">
        <f t="shared" si="2"/>
        <v/>
      </c>
      <c r="O78" s="4"/>
      <c r="P78" s="4"/>
      <c r="Q78" s="4"/>
      <c r="R78" s="4"/>
      <c r="S78" s="4"/>
      <c r="T78" s="4"/>
      <c r="U78" s="2"/>
      <c r="V78" s="5"/>
      <c r="W78" s="5"/>
      <c r="X78" s="5"/>
      <c r="Y78" s="5"/>
      <c r="Z78" s="5"/>
    </row>
    <row r="79" spans="1:26">
      <c r="A79" s="2">
        <v>73</v>
      </c>
      <c r="B79" s="3"/>
      <c r="C79" s="2" t="s">
        <v>108</v>
      </c>
      <c r="D79" s="2"/>
      <c r="E79" s="2"/>
      <c r="F79" s="2" t="s">
        <v>36</v>
      </c>
      <c r="G79" s="2"/>
      <c r="H79" s="2"/>
      <c r="I79" s="2"/>
      <c r="J79" s="4"/>
      <c r="K79" s="4"/>
      <c r="L79" s="4"/>
      <c r="M79" s="4"/>
      <c r="N79" s="4" t="str">
        <f t="shared" si="2"/>
        <v/>
      </c>
      <c r="O79" s="4"/>
      <c r="P79" s="4"/>
      <c r="Q79" s="4"/>
      <c r="R79" s="4"/>
      <c r="S79" s="4"/>
      <c r="T79" s="4"/>
      <c r="U79" s="2"/>
      <c r="V79" s="5"/>
      <c r="W79" s="5"/>
      <c r="X79" s="5"/>
      <c r="Y79" s="5"/>
      <c r="Z79" s="5"/>
    </row>
    <row r="80" spans="1:26">
      <c r="A80" s="2">
        <v>74</v>
      </c>
      <c r="B80" s="3"/>
      <c r="C80" s="2" t="s">
        <v>109</v>
      </c>
      <c r="D80" s="2"/>
      <c r="E80" s="2"/>
      <c r="F80" s="2" t="s">
        <v>36</v>
      </c>
      <c r="G80" s="2"/>
      <c r="H80" s="2"/>
      <c r="I80" s="2"/>
      <c r="J80" s="4"/>
      <c r="K80" s="4"/>
      <c r="L80" s="4"/>
      <c r="M80" s="4"/>
      <c r="N80" s="4" t="str">
        <f t="shared" si="2"/>
        <v/>
      </c>
      <c r="O80" s="4"/>
      <c r="P80" s="4"/>
      <c r="Q80" s="4"/>
      <c r="R80" s="4"/>
      <c r="S80" s="4"/>
      <c r="T80" s="4"/>
      <c r="U80" s="2"/>
      <c r="V80" s="5"/>
      <c r="W80" s="5"/>
      <c r="X80" s="5"/>
      <c r="Y80" s="5"/>
      <c r="Z80" s="5"/>
    </row>
    <row r="81" spans="1:26">
      <c r="A81" s="2">
        <v>75</v>
      </c>
      <c r="B81" s="3"/>
      <c r="C81" s="2" t="s">
        <v>110</v>
      </c>
      <c r="D81" s="2"/>
      <c r="E81" s="2"/>
      <c r="F81" s="2" t="s">
        <v>36</v>
      </c>
      <c r="G81" s="2"/>
      <c r="H81" s="2"/>
      <c r="I81" s="2"/>
      <c r="J81" s="4"/>
      <c r="K81" s="4"/>
      <c r="L81" s="4"/>
      <c r="M81" s="4"/>
      <c r="N81" s="4" t="str">
        <f t="shared" si="2"/>
        <v/>
      </c>
      <c r="O81" s="4"/>
      <c r="P81" s="4"/>
      <c r="Q81" s="4"/>
      <c r="R81" s="4"/>
      <c r="S81" s="4"/>
      <c r="T81" s="4"/>
      <c r="U81" s="2"/>
      <c r="V81" s="5"/>
      <c r="W81" s="5"/>
      <c r="X81" s="5"/>
      <c r="Y81" s="5"/>
      <c r="Z81" s="5"/>
    </row>
    <row r="82" spans="1:26">
      <c r="A82" s="2">
        <v>76</v>
      </c>
      <c r="B82" s="3"/>
      <c r="C82" s="2" t="s">
        <v>111</v>
      </c>
      <c r="D82" s="2"/>
      <c r="E82" s="2"/>
      <c r="F82" s="2" t="s">
        <v>36</v>
      </c>
      <c r="G82" s="2"/>
      <c r="H82" s="2"/>
      <c r="I82" s="2"/>
      <c r="J82" s="4"/>
      <c r="K82" s="4"/>
      <c r="L82" s="4"/>
      <c r="M82" s="4"/>
      <c r="N82" s="4" t="str">
        <f t="shared" si="2"/>
        <v/>
      </c>
      <c r="O82" s="4"/>
      <c r="P82" s="4"/>
      <c r="Q82" s="4"/>
      <c r="R82" s="4"/>
      <c r="S82" s="4"/>
      <c r="T82" s="4"/>
      <c r="U82" s="2"/>
      <c r="V82" s="5"/>
      <c r="W82" s="5"/>
      <c r="X82" s="5"/>
      <c r="Y82" s="5"/>
      <c r="Z82" s="5"/>
    </row>
    <row r="83" spans="1:26">
      <c r="A83" s="2">
        <v>77</v>
      </c>
      <c r="B83" s="3"/>
      <c r="C83" s="2" t="s">
        <v>112</v>
      </c>
      <c r="D83" s="2"/>
      <c r="E83" s="2"/>
      <c r="F83" s="2" t="s">
        <v>36</v>
      </c>
      <c r="G83" s="2"/>
      <c r="H83" s="2"/>
      <c r="I83" s="2"/>
      <c r="J83" s="4"/>
      <c r="K83" s="4"/>
      <c r="L83" s="4"/>
      <c r="M83" s="4"/>
      <c r="N83" s="4" t="str">
        <f t="shared" si="2"/>
        <v/>
      </c>
      <c r="O83" s="4"/>
      <c r="P83" s="4"/>
      <c r="Q83" s="4"/>
      <c r="R83" s="4"/>
      <c r="S83" s="4"/>
      <c r="T83" s="4"/>
      <c r="U83" s="2"/>
      <c r="V83" s="5"/>
      <c r="W83" s="5"/>
      <c r="X83" s="5"/>
      <c r="Y83" s="5"/>
      <c r="Z83" s="5"/>
    </row>
    <row r="84" spans="1:26">
      <c r="A84" s="2">
        <v>78</v>
      </c>
      <c r="B84" s="3"/>
      <c r="C84" s="2" t="s">
        <v>113</v>
      </c>
      <c r="D84" s="2"/>
      <c r="E84" s="2"/>
      <c r="F84" s="2" t="s">
        <v>36</v>
      </c>
      <c r="G84" s="2"/>
      <c r="H84" s="2"/>
      <c r="I84" s="2"/>
      <c r="J84" s="4"/>
      <c r="K84" s="4"/>
      <c r="L84" s="4"/>
      <c r="M84" s="4"/>
      <c r="N84" s="4" t="str">
        <f t="shared" si="2"/>
        <v/>
      </c>
      <c r="O84" s="4"/>
      <c r="P84" s="4"/>
      <c r="Q84" s="4"/>
      <c r="R84" s="4"/>
      <c r="S84" s="4"/>
      <c r="T84" s="4"/>
      <c r="U84" s="2"/>
      <c r="V84" s="5"/>
      <c r="W84" s="5"/>
      <c r="X84" s="5"/>
      <c r="Y84" s="5"/>
      <c r="Z84" s="5"/>
    </row>
    <row r="85" spans="1:26">
      <c r="A85" s="2">
        <v>79</v>
      </c>
      <c r="B85" s="3"/>
      <c r="C85" s="2" t="s">
        <v>114</v>
      </c>
      <c r="D85" s="2"/>
      <c r="E85" s="2"/>
      <c r="F85" s="2" t="s">
        <v>36</v>
      </c>
      <c r="G85" s="2"/>
      <c r="H85" s="2"/>
      <c r="I85" s="2"/>
      <c r="J85" s="4"/>
      <c r="K85" s="4"/>
      <c r="L85" s="4"/>
      <c r="M85" s="4"/>
      <c r="N85" s="4" t="str">
        <f t="shared" si="2"/>
        <v/>
      </c>
      <c r="O85" s="4"/>
      <c r="P85" s="4"/>
      <c r="Q85" s="4"/>
      <c r="R85" s="4"/>
      <c r="S85" s="4"/>
      <c r="T85" s="4"/>
      <c r="U85" s="2"/>
      <c r="V85" s="5"/>
      <c r="W85" s="5"/>
      <c r="X85" s="5"/>
      <c r="Y85" s="5"/>
      <c r="Z85" s="5"/>
    </row>
    <row r="86" spans="1:26">
      <c r="A86" s="2">
        <v>80</v>
      </c>
      <c r="B86" s="3"/>
      <c r="C86" s="2" t="s">
        <v>115</v>
      </c>
      <c r="D86" s="2"/>
      <c r="E86" s="2"/>
      <c r="F86" s="2" t="s">
        <v>36</v>
      </c>
      <c r="G86" s="2"/>
      <c r="H86" s="2"/>
      <c r="I86" s="2"/>
      <c r="J86" s="4"/>
      <c r="K86" s="4"/>
      <c r="L86" s="4"/>
      <c r="M86" s="4"/>
      <c r="N86" s="4" t="str">
        <f t="shared" si="2"/>
        <v/>
      </c>
      <c r="O86" s="4"/>
      <c r="P86" s="4"/>
      <c r="Q86" s="4"/>
      <c r="R86" s="4"/>
      <c r="S86" s="4"/>
      <c r="T86" s="4"/>
      <c r="U86" s="2"/>
      <c r="V86" s="5"/>
      <c r="W86" s="5"/>
      <c r="X86" s="5"/>
      <c r="Y86" s="5"/>
      <c r="Z86" s="5"/>
    </row>
    <row r="87" spans="1:26">
      <c r="A87" s="2">
        <v>81</v>
      </c>
      <c r="B87" s="3"/>
      <c r="C87" s="2" t="s">
        <v>116</v>
      </c>
      <c r="D87" s="2"/>
      <c r="E87" s="2"/>
      <c r="F87" s="2" t="s">
        <v>36</v>
      </c>
      <c r="G87" s="2"/>
      <c r="H87" s="2"/>
      <c r="I87" s="2"/>
      <c r="J87" s="4"/>
      <c r="K87" s="4"/>
      <c r="L87" s="4"/>
      <c r="M87" s="4"/>
      <c r="N87" s="4" t="str">
        <f t="shared" si="2"/>
        <v/>
      </c>
      <c r="O87" s="4"/>
      <c r="P87" s="4"/>
      <c r="Q87" s="4"/>
      <c r="R87" s="4"/>
      <c r="S87" s="4"/>
      <c r="T87" s="4"/>
      <c r="U87" s="2"/>
      <c r="V87" s="5"/>
      <c r="W87" s="5"/>
      <c r="X87" s="5"/>
      <c r="Y87" s="5"/>
      <c r="Z87" s="5"/>
    </row>
    <row r="88" spans="1:26">
      <c r="A88" s="2">
        <v>82</v>
      </c>
      <c r="B88" s="3"/>
      <c r="C88" s="2" t="s">
        <v>117</v>
      </c>
      <c r="D88" s="2"/>
      <c r="E88" s="2"/>
      <c r="F88" s="2" t="s">
        <v>36</v>
      </c>
      <c r="G88" s="2"/>
      <c r="H88" s="2"/>
      <c r="I88" s="2"/>
      <c r="J88" s="4"/>
      <c r="K88" s="4"/>
      <c r="L88" s="4"/>
      <c r="M88" s="4"/>
      <c r="N88" s="4" t="str">
        <f t="shared" si="2"/>
        <v/>
      </c>
      <c r="O88" s="4"/>
      <c r="P88" s="4"/>
      <c r="Q88" s="4"/>
      <c r="R88" s="4"/>
      <c r="S88" s="4"/>
      <c r="T88" s="4"/>
      <c r="U88" s="2"/>
      <c r="V88" s="5"/>
      <c r="W88" s="5"/>
      <c r="X88" s="5"/>
      <c r="Y88" s="5"/>
      <c r="Z88" s="5"/>
    </row>
    <row r="89" spans="1:26">
      <c r="A89" s="2">
        <v>83</v>
      </c>
      <c r="B89" s="3"/>
      <c r="C89" s="2" t="s">
        <v>118</v>
      </c>
      <c r="D89" s="2"/>
      <c r="E89" s="2"/>
      <c r="F89" s="2" t="s">
        <v>36</v>
      </c>
      <c r="G89" s="2"/>
      <c r="H89" s="2"/>
      <c r="I89" s="2"/>
      <c r="J89" s="4"/>
      <c r="K89" s="4"/>
      <c r="L89" s="4"/>
      <c r="M89" s="4"/>
      <c r="N89" s="4" t="str">
        <f t="shared" si="2"/>
        <v/>
      </c>
      <c r="O89" s="4"/>
      <c r="P89" s="4"/>
      <c r="Q89" s="4"/>
      <c r="R89" s="4"/>
      <c r="S89" s="4"/>
      <c r="T89" s="4"/>
      <c r="U89" s="2"/>
      <c r="V89" s="5"/>
      <c r="W89" s="5"/>
      <c r="X89" s="5"/>
      <c r="Y89" s="5"/>
      <c r="Z89" s="5"/>
    </row>
    <row r="90" spans="1:26">
      <c r="A90" s="2">
        <v>84</v>
      </c>
      <c r="B90" s="3"/>
      <c r="C90" s="2" t="s">
        <v>119</v>
      </c>
      <c r="D90" s="2"/>
      <c r="E90" s="2"/>
      <c r="F90" s="2" t="s">
        <v>36</v>
      </c>
      <c r="G90" s="2"/>
      <c r="H90" s="2"/>
      <c r="I90" s="2"/>
      <c r="J90" s="4"/>
      <c r="K90" s="4"/>
      <c r="L90" s="4"/>
      <c r="M90" s="4"/>
      <c r="N90" s="4" t="str">
        <f t="shared" si="2"/>
        <v/>
      </c>
      <c r="O90" s="4"/>
      <c r="P90" s="4"/>
      <c r="Q90" s="4"/>
      <c r="R90" s="4"/>
      <c r="S90" s="4"/>
      <c r="T90" s="4"/>
      <c r="U90" s="2"/>
      <c r="V90" s="5"/>
      <c r="W90" s="5"/>
      <c r="X90" s="5"/>
      <c r="Y90" s="5"/>
      <c r="Z90" s="5"/>
    </row>
    <row r="91" spans="1:26">
      <c r="A91" s="2">
        <v>85</v>
      </c>
      <c r="B91" s="3"/>
      <c r="C91" s="2" t="s">
        <v>120</v>
      </c>
      <c r="D91" s="2"/>
      <c r="E91" s="2"/>
      <c r="F91" s="2" t="s">
        <v>36</v>
      </c>
      <c r="G91" s="2"/>
      <c r="H91" s="2"/>
      <c r="I91" s="2"/>
      <c r="J91" s="4"/>
      <c r="K91" s="4"/>
      <c r="L91" s="4"/>
      <c r="M91" s="4"/>
      <c r="N91" s="4" t="str">
        <f t="shared" si="2"/>
        <v/>
      </c>
      <c r="O91" s="4"/>
      <c r="P91" s="4"/>
      <c r="Q91" s="4"/>
      <c r="R91" s="4"/>
      <c r="S91" s="4"/>
      <c r="T91" s="4"/>
      <c r="U91" s="2"/>
      <c r="V91" s="5"/>
      <c r="W91" s="5"/>
      <c r="X91" s="5"/>
      <c r="Y91" s="5"/>
      <c r="Z91" s="5"/>
    </row>
    <row r="92" spans="1:26">
      <c r="A92" s="2">
        <v>86</v>
      </c>
      <c r="B92" s="3"/>
      <c r="C92" s="2" t="s">
        <v>121</v>
      </c>
      <c r="D92" s="2"/>
      <c r="E92" s="2"/>
      <c r="F92" s="2" t="s">
        <v>36</v>
      </c>
      <c r="G92" s="2"/>
      <c r="H92" s="2"/>
      <c r="I92" s="2"/>
      <c r="J92" s="4"/>
      <c r="K92" s="4"/>
      <c r="L92" s="4"/>
      <c r="M92" s="4"/>
      <c r="N92" s="4" t="str">
        <f t="shared" si="2"/>
        <v/>
      </c>
      <c r="O92" s="4"/>
      <c r="P92" s="4"/>
      <c r="Q92" s="4"/>
      <c r="R92" s="4"/>
      <c r="S92" s="4"/>
      <c r="T92" s="4"/>
      <c r="U92" s="2"/>
      <c r="V92" s="5"/>
      <c r="W92" s="5"/>
      <c r="X92" s="5"/>
      <c r="Y92" s="5"/>
      <c r="Z92" s="5"/>
    </row>
    <row r="93" spans="1:26">
      <c r="A93" s="2">
        <v>87</v>
      </c>
      <c r="B93" s="3"/>
      <c r="C93" s="2" t="s">
        <v>122</v>
      </c>
      <c r="D93" s="2"/>
      <c r="E93" s="2"/>
      <c r="F93" s="2" t="s">
        <v>36</v>
      </c>
      <c r="G93" s="2"/>
      <c r="H93" s="2"/>
      <c r="I93" s="2"/>
      <c r="J93" s="4"/>
      <c r="K93" s="4"/>
      <c r="L93" s="4"/>
      <c r="M93" s="4"/>
      <c r="N93" s="4" t="str">
        <f t="shared" si="2"/>
        <v/>
      </c>
      <c r="O93" s="4"/>
      <c r="P93" s="4"/>
      <c r="Q93" s="4"/>
      <c r="R93" s="4"/>
      <c r="S93" s="4"/>
      <c r="T93" s="4"/>
      <c r="U93" s="2"/>
      <c r="V93" s="5"/>
      <c r="W93" s="5"/>
      <c r="X93" s="5"/>
      <c r="Y93" s="5"/>
      <c r="Z93" s="5"/>
    </row>
    <row r="94" spans="1:26">
      <c r="A94" s="2">
        <v>88</v>
      </c>
      <c r="B94" s="3"/>
      <c r="C94" s="2" t="s">
        <v>123</v>
      </c>
      <c r="D94" s="2"/>
      <c r="E94" s="2"/>
      <c r="F94" s="2" t="s">
        <v>36</v>
      </c>
      <c r="G94" s="2"/>
      <c r="H94" s="2"/>
      <c r="I94" s="2"/>
      <c r="J94" s="4"/>
      <c r="K94" s="4"/>
      <c r="L94" s="4"/>
      <c r="M94" s="4"/>
      <c r="N94" s="4" t="str">
        <f t="shared" si="2"/>
        <v/>
      </c>
      <c r="O94" s="4"/>
      <c r="P94" s="4"/>
      <c r="Q94" s="4"/>
      <c r="R94" s="4"/>
      <c r="S94" s="4"/>
      <c r="T94" s="4"/>
      <c r="U94" s="2"/>
      <c r="V94" s="5"/>
      <c r="W94" s="5"/>
      <c r="X94" s="5"/>
      <c r="Y94" s="5"/>
      <c r="Z94" s="5"/>
    </row>
    <row r="95" spans="1:26">
      <c r="A95" s="2">
        <v>89</v>
      </c>
      <c r="B95" s="3"/>
      <c r="C95" s="2" t="s">
        <v>124</v>
      </c>
      <c r="D95" s="2"/>
      <c r="E95" s="2"/>
      <c r="F95" s="2" t="s">
        <v>36</v>
      </c>
      <c r="G95" s="2"/>
      <c r="H95" s="2"/>
      <c r="I95" s="2"/>
      <c r="J95" s="4"/>
      <c r="K95" s="4"/>
      <c r="L95" s="4"/>
      <c r="M95" s="4"/>
      <c r="N95" s="4" t="str">
        <f t="shared" si="2"/>
        <v/>
      </c>
      <c r="O95" s="4"/>
      <c r="P95" s="4"/>
      <c r="Q95" s="4"/>
      <c r="R95" s="4"/>
      <c r="S95" s="4"/>
      <c r="T95" s="4"/>
      <c r="U95" s="2"/>
      <c r="V95" s="5"/>
      <c r="W95" s="5"/>
      <c r="X95" s="5"/>
      <c r="Y95" s="5"/>
      <c r="Z95" s="5"/>
    </row>
    <row r="96" spans="1:26">
      <c r="A96" s="2">
        <v>90</v>
      </c>
      <c r="B96" s="3"/>
      <c r="C96" s="2" t="s">
        <v>125</v>
      </c>
      <c r="D96" s="2"/>
      <c r="E96" s="2"/>
      <c r="F96" s="2" t="s">
        <v>36</v>
      </c>
      <c r="G96" s="2"/>
      <c r="H96" s="2"/>
      <c r="I96" s="2"/>
      <c r="J96" s="4"/>
      <c r="K96" s="4"/>
      <c r="L96" s="4"/>
      <c r="M96" s="4"/>
      <c r="N96" s="4" t="str">
        <f t="shared" si="2"/>
        <v/>
      </c>
      <c r="O96" s="4"/>
      <c r="P96" s="4"/>
      <c r="Q96" s="4"/>
      <c r="R96" s="4"/>
      <c r="S96" s="4"/>
      <c r="T96" s="4"/>
      <c r="U96" s="2"/>
      <c r="V96" s="5"/>
      <c r="W96" s="5"/>
      <c r="X96" s="5"/>
      <c r="Y96" s="5"/>
      <c r="Z96" s="5"/>
    </row>
    <row r="97" spans="1:26">
      <c r="A97" s="2">
        <v>91</v>
      </c>
      <c r="B97" s="3"/>
      <c r="C97" s="2" t="s">
        <v>126</v>
      </c>
      <c r="D97" s="2"/>
      <c r="E97" s="2"/>
      <c r="F97" s="2" t="s">
        <v>36</v>
      </c>
      <c r="G97" s="2"/>
      <c r="H97" s="2"/>
      <c r="I97" s="2"/>
      <c r="J97" s="4"/>
      <c r="K97" s="4"/>
      <c r="L97" s="4"/>
      <c r="M97" s="4"/>
      <c r="N97" s="4" t="str">
        <f t="shared" si="2"/>
        <v/>
      </c>
      <c r="O97" s="4"/>
      <c r="P97" s="4"/>
      <c r="Q97" s="4"/>
      <c r="R97" s="4"/>
      <c r="S97" s="4"/>
      <c r="T97" s="4"/>
      <c r="U97" s="2"/>
      <c r="V97" s="5"/>
      <c r="W97" s="5"/>
      <c r="X97" s="5"/>
      <c r="Y97" s="5"/>
      <c r="Z97" s="5"/>
    </row>
    <row r="98" spans="1:26">
      <c r="A98" s="2">
        <v>92</v>
      </c>
      <c r="B98" s="3"/>
      <c r="C98" s="2" t="s">
        <v>127</v>
      </c>
      <c r="D98" s="2"/>
      <c r="E98" s="2"/>
      <c r="F98" s="2" t="s">
        <v>36</v>
      </c>
      <c r="G98" s="2"/>
      <c r="H98" s="2"/>
      <c r="I98" s="2"/>
      <c r="J98" s="4"/>
      <c r="K98" s="4"/>
      <c r="L98" s="4"/>
      <c r="M98" s="4"/>
      <c r="N98" s="4" t="str">
        <f t="shared" si="2"/>
        <v/>
      </c>
      <c r="O98" s="4"/>
      <c r="P98" s="4"/>
      <c r="Q98" s="4"/>
      <c r="R98" s="4"/>
      <c r="S98" s="4"/>
      <c r="T98" s="4"/>
      <c r="U98" s="2"/>
      <c r="V98" s="5"/>
      <c r="W98" s="5"/>
      <c r="X98" s="5"/>
      <c r="Y98" s="5"/>
      <c r="Z98" s="5"/>
    </row>
    <row r="99" spans="1:26">
      <c r="A99" s="2">
        <v>93</v>
      </c>
      <c r="B99" s="3"/>
      <c r="C99" s="2" t="s">
        <v>128</v>
      </c>
      <c r="D99" s="2"/>
      <c r="E99" s="2"/>
      <c r="F99" s="2" t="s">
        <v>36</v>
      </c>
      <c r="G99" s="2"/>
      <c r="H99" s="2"/>
      <c r="I99" s="2"/>
      <c r="J99" s="4"/>
      <c r="K99" s="4"/>
      <c r="L99" s="4"/>
      <c r="M99" s="4"/>
      <c r="N99" s="4" t="str">
        <f t="shared" si="2"/>
        <v/>
      </c>
      <c r="O99" s="4"/>
      <c r="P99" s="4"/>
      <c r="Q99" s="4"/>
      <c r="R99" s="4"/>
      <c r="S99" s="4"/>
      <c r="T99" s="4"/>
      <c r="U99" s="2"/>
      <c r="V99" s="5"/>
      <c r="W99" s="5"/>
      <c r="X99" s="5"/>
      <c r="Y99" s="5"/>
      <c r="Z99" s="5"/>
    </row>
    <row r="100" spans="1:26">
      <c r="A100" s="2">
        <v>94</v>
      </c>
      <c r="B100" s="3"/>
      <c r="C100" s="2" t="s">
        <v>129</v>
      </c>
      <c r="D100" s="2"/>
      <c r="E100" s="2"/>
      <c r="F100" s="2" t="s">
        <v>36</v>
      </c>
      <c r="G100" s="2"/>
      <c r="H100" s="2"/>
      <c r="I100" s="2"/>
      <c r="J100" s="4"/>
      <c r="K100" s="4"/>
      <c r="L100" s="4"/>
      <c r="M100" s="4"/>
      <c r="N100" s="4" t="str">
        <f t="shared" si="2"/>
        <v/>
      </c>
      <c r="O100" s="4"/>
      <c r="P100" s="4"/>
      <c r="Q100" s="4"/>
      <c r="R100" s="4"/>
      <c r="S100" s="4"/>
      <c r="T100" s="4"/>
      <c r="U100" s="2"/>
      <c r="V100" s="5"/>
      <c r="W100" s="5"/>
      <c r="X100" s="5"/>
      <c r="Y100" s="5"/>
      <c r="Z100" s="5"/>
    </row>
    <row r="101" spans="1:26">
      <c r="A101" s="2">
        <v>95</v>
      </c>
      <c r="B101" s="3"/>
      <c r="C101" s="2" t="s">
        <v>130</v>
      </c>
      <c r="D101" s="2"/>
      <c r="E101" s="2"/>
      <c r="F101" s="2" t="s">
        <v>36</v>
      </c>
      <c r="G101" s="2"/>
      <c r="H101" s="2"/>
      <c r="I101" s="2"/>
      <c r="J101" s="4"/>
      <c r="K101" s="4"/>
      <c r="L101" s="4"/>
      <c r="M101" s="4"/>
      <c r="N101" s="4" t="str">
        <f t="shared" si="2"/>
        <v/>
      </c>
      <c r="O101" s="4"/>
      <c r="P101" s="4"/>
      <c r="Q101" s="4"/>
      <c r="R101" s="4"/>
      <c r="S101" s="4"/>
      <c r="T101" s="4"/>
      <c r="U101" s="2"/>
      <c r="V101" s="5"/>
      <c r="W101" s="5"/>
      <c r="X101" s="5"/>
      <c r="Y101" s="5"/>
      <c r="Z101" s="5"/>
    </row>
    <row r="102" spans="1:26">
      <c r="A102" s="2">
        <v>96</v>
      </c>
      <c r="B102" s="3"/>
      <c r="C102" s="2" t="s">
        <v>131</v>
      </c>
      <c r="D102" s="2"/>
      <c r="E102" s="2"/>
      <c r="F102" s="2" t="s">
        <v>36</v>
      </c>
      <c r="G102" s="2"/>
      <c r="H102" s="2"/>
      <c r="I102" s="2"/>
      <c r="J102" s="4"/>
      <c r="K102" s="4"/>
      <c r="L102" s="4"/>
      <c r="M102" s="4"/>
      <c r="N102" s="4" t="str">
        <f t="shared" si="2"/>
        <v/>
      </c>
      <c r="O102" s="4"/>
      <c r="P102" s="4"/>
      <c r="Q102" s="4"/>
      <c r="R102" s="4"/>
      <c r="S102" s="4"/>
      <c r="T102" s="4"/>
      <c r="U102" s="2"/>
      <c r="V102" s="5"/>
      <c r="W102" s="5"/>
      <c r="X102" s="5"/>
      <c r="Y102" s="5"/>
      <c r="Z102" s="5"/>
    </row>
    <row r="103" spans="1:26">
      <c r="A103" s="2">
        <v>97</v>
      </c>
      <c r="B103" s="3"/>
      <c r="C103" s="2" t="s">
        <v>132</v>
      </c>
      <c r="D103" s="2"/>
      <c r="E103" s="2"/>
      <c r="F103" s="2" t="s">
        <v>36</v>
      </c>
      <c r="G103" s="2"/>
      <c r="H103" s="2"/>
      <c r="I103" s="2"/>
      <c r="J103" s="4"/>
      <c r="K103" s="4"/>
      <c r="L103" s="4"/>
      <c r="M103" s="4"/>
      <c r="N103" s="4" t="str">
        <f t="shared" ref="N103:N134" si="3">IF(COUNTA(K103:M103)=0,"",SUM(K103:M103))</f>
        <v/>
      </c>
      <c r="O103" s="4"/>
      <c r="P103" s="4"/>
      <c r="Q103" s="4"/>
      <c r="R103" s="4"/>
      <c r="S103" s="4"/>
      <c r="T103" s="4"/>
      <c r="U103" s="2"/>
      <c r="V103" s="5"/>
      <c r="W103" s="5"/>
      <c r="X103" s="5"/>
      <c r="Y103" s="5"/>
      <c r="Z103" s="5"/>
    </row>
    <row r="104" spans="1:26">
      <c r="A104" s="2">
        <v>98</v>
      </c>
      <c r="B104" s="3"/>
      <c r="C104" s="2" t="s">
        <v>133</v>
      </c>
      <c r="D104" s="2"/>
      <c r="E104" s="2"/>
      <c r="F104" s="2" t="s">
        <v>36</v>
      </c>
      <c r="G104" s="2"/>
      <c r="H104" s="2"/>
      <c r="I104" s="2"/>
      <c r="J104" s="4"/>
      <c r="K104" s="4"/>
      <c r="L104" s="4"/>
      <c r="M104" s="4"/>
      <c r="N104" s="4" t="str">
        <f t="shared" si="3"/>
        <v/>
      </c>
      <c r="O104" s="4"/>
      <c r="P104" s="4"/>
      <c r="Q104" s="4"/>
      <c r="R104" s="4"/>
      <c r="S104" s="4"/>
      <c r="T104" s="4"/>
      <c r="U104" s="2"/>
      <c r="V104" s="5"/>
      <c r="W104" s="5"/>
      <c r="X104" s="5"/>
      <c r="Y104" s="5"/>
      <c r="Z104" s="5"/>
    </row>
    <row r="105" spans="1:26">
      <c r="A105" s="2">
        <v>99</v>
      </c>
      <c r="B105" s="3"/>
      <c r="C105" s="2" t="s">
        <v>134</v>
      </c>
      <c r="D105" s="2"/>
      <c r="E105" s="2"/>
      <c r="F105" s="2" t="s">
        <v>36</v>
      </c>
      <c r="G105" s="2"/>
      <c r="H105" s="2"/>
      <c r="I105" s="2"/>
      <c r="J105" s="4"/>
      <c r="K105" s="4"/>
      <c r="L105" s="4"/>
      <c r="M105" s="4"/>
      <c r="N105" s="4" t="str">
        <f t="shared" si="3"/>
        <v/>
      </c>
      <c r="O105" s="4"/>
      <c r="P105" s="4"/>
      <c r="Q105" s="4"/>
      <c r="R105" s="4"/>
      <c r="S105" s="4"/>
      <c r="T105" s="4"/>
      <c r="U105" s="2"/>
      <c r="V105" s="5"/>
      <c r="W105" s="5"/>
      <c r="X105" s="5"/>
      <c r="Y105" s="5"/>
      <c r="Z105" s="5"/>
    </row>
    <row r="106" spans="1:26">
      <c r="A106" s="2">
        <v>100</v>
      </c>
      <c r="B106" s="3"/>
      <c r="C106" s="2" t="s">
        <v>135</v>
      </c>
      <c r="D106" s="2"/>
      <c r="E106" s="2"/>
      <c r="F106" s="2" t="s">
        <v>36</v>
      </c>
      <c r="G106" s="2"/>
      <c r="H106" s="2"/>
      <c r="I106" s="2"/>
      <c r="J106" s="4"/>
      <c r="K106" s="4"/>
      <c r="L106" s="4"/>
      <c r="M106" s="4"/>
      <c r="N106" s="4" t="str">
        <f t="shared" si="3"/>
        <v/>
      </c>
      <c r="O106" s="4"/>
      <c r="P106" s="4"/>
      <c r="Q106" s="4"/>
      <c r="R106" s="4"/>
      <c r="S106" s="4"/>
      <c r="T106" s="4"/>
      <c r="U106" s="2"/>
      <c r="V106" s="5"/>
      <c r="W106" s="5"/>
      <c r="X106" s="5"/>
      <c r="Y106" s="5"/>
      <c r="Z106" s="5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</sheetData>
  <mergeCells count="1">
    <mergeCell ref="A1:Z1"/>
  </mergeCells>
  <phoneticPr fontId="7"/>
  <conditionalFormatting sqref="Q7:T106">
    <cfRule type="expression" dxfId="3" priority="4">
      <formula>Q7&gt;0</formula>
    </cfRule>
  </conditionalFormatting>
  <conditionalFormatting sqref="Y7:Y106">
    <cfRule type="expression" dxfId="2" priority="1">
      <formula>Y7="合格"</formula>
    </cfRule>
    <cfRule type="expression" dxfId="1" priority="2">
      <formula>Y7="不合格"</formula>
    </cfRule>
    <cfRule type="expression" dxfId="0" priority="3">
      <formula>Y7="保留"</formula>
    </cfRule>
  </conditionalFormatting>
  <dataValidations count="8">
    <dataValidation type="list" sqref="D7:D106" xr:uid="{00000000-0002-0000-0000-000000000000}">
      <formula1>"T01,T02,T03,T04,T05,T06,T07,T08,T09,T10"</formula1>
    </dataValidation>
    <dataValidation type="list" sqref="E7:E106" xr:uid="{00000000-0002-0000-0000-000001000000}">
      <formula1>"通常印字,FAX,劣化FAX,手書き,手書き追記,自由文章,複数積卸,曖昧表現,情報不足,矛盾あり,過去案件比較"</formula1>
    </dataValidation>
    <dataValidation type="list" sqref="G7:G106" xr:uid="{00000000-0002-0000-0000-000002000000}">
      <formula1>"関西,北信越,中京,東北,中国,四国,九州,関東"</formula1>
    </dataValidation>
    <dataValidation type="list" sqref="H7:H106" xr:uid="{00000000-0002-0000-0000-000003000000}">
      <formula1>"未分類,軽い,普通,重い"</formula1>
    </dataValidation>
    <dataValidation type="list" sqref="I7:I106" xr:uid="{00000000-0002-0000-0000-000004000000}">
      <formula1>"あり,なし"</formula1>
    </dataValidation>
    <dataValidation type="list" sqref="U7:U106" xr:uid="{00000000-0002-0000-0000-000005000000}">
      <formula1>"可,要確認,不可"</formula1>
    </dataValidation>
    <dataValidation type="list" sqref="X7:X106" xr:uid="{00000000-0002-0000-0000-000006000000}">
      <formula1>"確認済,未確認,対象外"</formula1>
    </dataValidation>
    <dataValidation type="list" sqref="Y7:Y106" xr:uid="{00000000-0002-0000-0000-000007000000}">
      <formula1>"合格,不合格,保留"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/>
  </sheetViews>
  <sheetFormatPr defaultRowHeight="14.25"/>
  <cols>
    <col min="1" max="1" width="9" customWidth="1"/>
    <col min="2" max="2" width="18" customWidth="1"/>
    <col min="3" max="3" width="26" customWidth="1"/>
    <col min="4" max="4" width="38" customWidth="1"/>
    <col min="5" max="5" width="24" customWidth="1"/>
    <col min="6" max="6" width="34" customWidth="1"/>
    <col min="7" max="7" width="24" customWidth="1"/>
  </cols>
  <sheetData>
    <row r="1" spans="1:7" ht="19.5">
      <c r="A1" s="13" t="s">
        <v>136</v>
      </c>
      <c r="B1" s="12"/>
      <c r="C1" s="12"/>
      <c r="D1" s="12"/>
      <c r="E1" s="12"/>
      <c r="F1" s="12"/>
      <c r="G1" s="12"/>
    </row>
    <row r="2" spans="1:7">
      <c r="A2" s="2"/>
      <c r="B2" s="2"/>
      <c r="C2" s="2"/>
      <c r="D2" s="2"/>
      <c r="E2" s="2"/>
      <c r="F2" s="2"/>
      <c r="G2" s="2"/>
    </row>
    <row r="3" spans="1:7" ht="15">
      <c r="A3" s="10" t="s">
        <v>12</v>
      </c>
      <c r="B3" s="10" t="s">
        <v>137</v>
      </c>
      <c r="C3" s="10" t="s">
        <v>138</v>
      </c>
      <c r="D3" s="10" t="s">
        <v>139</v>
      </c>
      <c r="E3" s="10" t="s">
        <v>31</v>
      </c>
      <c r="F3" s="10" t="s">
        <v>140</v>
      </c>
      <c r="G3" s="10" t="s">
        <v>141</v>
      </c>
    </row>
    <row r="4" spans="1:7" ht="28.5">
      <c r="A4" s="5" t="s">
        <v>142</v>
      </c>
      <c r="B4" s="5" t="s">
        <v>143</v>
      </c>
      <c r="C4" s="5" t="s">
        <v>144</v>
      </c>
      <c r="D4" s="5" t="s">
        <v>145</v>
      </c>
      <c r="E4" s="5" t="s">
        <v>146</v>
      </c>
      <c r="F4" s="5" t="s">
        <v>147</v>
      </c>
      <c r="G4" s="5" t="s">
        <v>148</v>
      </c>
    </row>
    <row r="5" spans="1:7" ht="28.5">
      <c r="A5" s="5" t="s">
        <v>149</v>
      </c>
      <c r="B5" s="5" t="s">
        <v>150</v>
      </c>
      <c r="C5" s="5" t="s">
        <v>151</v>
      </c>
      <c r="D5" s="5" t="s">
        <v>152</v>
      </c>
      <c r="E5" s="5" t="s">
        <v>146</v>
      </c>
      <c r="F5" s="5" t="s">
        <v>153</v>
      </c>
      <c r="G5" s="5" t="s">
        <v>154</v>
      </c>
    </row>
    <row r="6" spans="1:7" ht="28.5">
      <c r="A6" s="5" t="s">
        <v>155</v>
      </c>
      <c r="B6" s="5" t="s">
        <v>156</v>
      </c>
      <c r="C6" s="5" t="s">
        <v>157</v>
      </c>
      <c r="D6" s="5" t="s">
        <v>158</v>
      </c>
      <c r="E6" s="5" t="s">
        <v>146</v>
      </c>
      <c r="F6" s="5" t="s">
        <v>159</v>
      </c>
      <c r="G6" s="5" t="s">
        <v>160</v>
      </c>
    </row>
    <row r="7" spans="1:7" ht="28.5">
      <c r="A7" s="5" t="s">
        <v>161</v>
      </c>
      <c r="B7" s="5" t="s">
        <v>162</v>
      </c>
      <c r="C7" s="5" t="s">
        <v>163</v>
      </c>
      <c r="D7" s="5" t="s">
        <v>164</v>
      </c>
      <c r="E7" s="5" t="s">
        <v>146</v>
      </c>
      <c r="F7" s="5" t="s">
        <v>165</v>
      </c>
      <c r="G7" s="5" t="s">
        <v>166</v>
      </c>
    </row>
    <row r="8" spans="1:7" ht="28.5">
      <c r="A8" s="5" t="s">
        <v>167</v>
      </c>
      <c r="B8" s="5" t="s">
        <v>168</v>
      </c>
      <c r="C8" s="5" t="s">
        <v>169</v>
      </c>
      <c r="D8" s="5" t="s">
        <v>170</v>
      </c>
      <c r="E8" s="5" t="s">
        <v>171</v>
      </c>
      <c r="F8" s="5" t="s">
        <v>172</v>
      </c>
      <c r="G8" s="5" t="s">
        <v>173</v>
      </c>
    </row>
    <row r="9" spans="1:7" ht="28.5">
      <c r="A9" s="5" t="s">
        <v>174</v>
      </c>
      <c r="B9" s="5" t="s">
        <v>175</v>
      </c>
      <c r="C9" s="5" t="s">
        <v>176</v>
      </c>
      <c r="D9" s="5" t="s">
        <v>177</v>
      </c>
      <c r="E9" s="5" t="s">
        <v>146</v>
      </c>
      <c r="F9" s="5" t="s">
        <v>178</v>
      </c>
      <c r="G9" s="5" t="s">
        <v>179</v>
      </c>
    </row>
    <row r="10" spans="1:7" ht="28.5">
      <c r="A10" s="5" t="s">
        <v>180</v>
      </c>
      <c r="B10" s="5" t="s">
        <v>181</v>
      </c>
      <c r="C10" s="5" t="s">
        <v>182</v>
      </c>
      <c r="D10" s="5" t="s">
        <v>183</v>
      </c>
      <c r="E10" s="5" t="s">
        <v>171</v>
      </c>
      <c r="F10" s="5" t="s">
        <v>184</v>
      </c>
      <c r="G10" s="5" t="s">
        <v>185</v>
      </c>
    </row>
    <row r="11" spans="1:7" ht="28.5">
      <c r="A11" s="5" t="s">
        <v>186</v>
      </c>
      <c r="B11" s="5" t="s">
        <v>187</v>
      </c>
      <c r="C11" s="5" t="s">
        <v>188</v>
      </c>
      <c r="D11" s="5" t="s">
        <v>189</v>
      </c>
      <c r="E11" s="5" t="s">
        <v>146</v>
      </c>
      <c r="F11" s="5" t="s">
        <v>190</v>
      </c>
      <c r="G11" s="5" t="s">
        <v>191</v>
      </c>
    </row>
    <row r="12" spans="1:7" ht="28.5">
      <c r="A12" s="5" t="s">
        <v>192</v>
      </c>
      <c r="B12" s="5" t="s">
        <v>193</v>
      </c>
      <c r="C12" s="5" t="s">
        <v>194</v>
      </c>
      <c r="D12" s="5" t="s">
        <v>195</v>
      </c>
      <c r="E12" s="5" t="s">
        <v>196</v>
      </c>
      <c r="F12" s="5" t="s">
        <v>197</v>
      </c>
      <c r="G12" s="5" t="s">
        <v>198</v>
      </c>
    </row>
    <row r="13" spans="1:7" ht="28.5">
      <c r="A13" s="5" t="s">
        <v>199</v>
      </c>
      <c r="B13" s="5" t="s">
        <v>200</v>
      </c>
      <c r="C13" s="5" t="s">
        <v>201</v>
      </c>
      <c r="D13" s="5" t="s">
        <v>202</v>
      </c>
      <c r="E13" s="5" t="s">
        <v>146</v>
      </c>
      <c r="F13" s="5" t="s">
        <v>203</v>
      </c>
      <c r="G13" s="5" t="s">
        <v>204</v>
      </c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2"/>
      <c r="D15" s="2"/>
      <c r="E15" s="2"/>
      <c r="F15" s="2"/>
      <c r="G15" s="2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18" spans="1:7">
      <c r="A18" s="2"/>
      <c r="B18" s="2"/>
      <c r="C18" s="2"/>
      <c r="D18" s="2"/>
      <c r="E18" s="2"/>
      <c r="F18" s="2"/>
      <c r="G18" s="2"/>
    </row>
    <row r="19" spans="1:7">
      <c r="A19" s="2"/>
      <c r="B19" s="2"/>
      <c r="C19" s="2"/>
      <c r="D19" s="2"/>
      <c r="E19" s="2"/>
      <c r="F19" s="2"/>
      <c r="G19" s="2"/>
    </row>
    <row r="20" spans="1:7">
      <c r="A20" s="2"/>
      <c r="B20" s="2"/>
      <c r="C20" s="2"/>
      <c r="D20" s="2"/>
      <c r="E20" s="2"/>
      <c r="F20" s="2"/>
      <c r="G20" s="2"/>
    </row>
  </sheetData>
  <mergeCells count="1">
    <mergeCell ref="A1:G1"/>
  </mergeCells>
  <phoneticPr fontId="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defaultRowHeight="14.25"/>
  <cols>
    <col min="1" max="1" width="18" customWidth="1"/>
    <col min="2" max="2" width="42" customWidth="1"/>
    <col min="3" max="3" width="36" customWidth="1"/>
    <col min="4" max="4" width="30" customWidth="1"/>
  </cols>
  <sheetData>
    <row r="1" spans="1:4" ht="19.5">
      <c r="A1" s="13" t="s">
        <v>205</v>
      </c>
      <c r="B1" s="12"/>
      <c r="C1" s="12"/>
      <c r="D1" s="12"/>
    </row>
    <row r="2" spans="1:4">
      <c r="A2" s="2"/>
      <c r="B2" s="2"/>
      <c r="C2" s="2"/>
      <c r="D2" s="2"/>
    </row>
    <row r="3" spans="1:4" ht="15">
      <c r="A3" s="10" t="s">
        <v>206</v>
      </c>
      <c r="B3" s="10" t="s">
        <v>207</v>
      </c>
      <c r="C3" s="10" t="s">
        <v>208</v>
      </c>
      <c r="D3" s="10" t="s">
        <v>209</v>
      </c>
    </row>
    <row r="4" spans="1:4" ht="28.5">
      <c r="A4" s="5" t="s">
        <v>210</v>
      </c>
      <c r="B4" s="5" t="s">
        <v>211</v>
      </c>
      <c r="C4" s="5" t="s">
        <v>212</v>
      </c>
      <c r="D4" s="5" t="s">
        <v>213</v>
      </c>
    </row>
    <row r="5" spans="1:4">
      <c r="A5" s="5" t="s">
        <v>214</v>
      </c>
      <c r="B5" s="5" t="s">
        <v>215</v>
      </c>
      <c r="C5" s="5" t="s">
        <v>216</v>
      </c>
      <c r="D5" s="5" t="s">
        <v>217</v>
      </c>
    </row>
    <row r="6" spans="1:4" ht="28.5">
      <c r="A6" s="5" t="s">
        <v>6</v>
      </c>
      <c r="B6" s="5" t="s">
        <v>218</v>
      </c>
      <c r="C6" s="5" t="s">
        <v>219</v>
      </c>
      <c r="D6" s="5" t="s">
        <v>220</v>
      </c>
    </row>
    <row r="7" spans="1:4" ht="28.5">
      <c r="A7" s="5" t="s">
        <v>7</v>
      </c>
      <c r="B7" s="5" t="s">
        <v>221</v>
      </c>
      <c r="C7" s="5" t="s">
        <v>222</v>
      </c>
      <c r="D7" s="5" t="s">
        <v>220</v>
      </c>
    </row>
    <row r="8" spans="1:4" ht="28.5">
      <c r="A8" s="5" t="s">
        <v>223</v>
      </c>
      <c r="B8" s="5" t="s">
        <v>224</v>
      </c>
      <c r="C8" s="5" t="s">
        <v>225</v>
      </c>
      <c r="D8" s="5" t="s">
        <v>226</v>
      </c>
    </row>
    <row r="9" spans="1:4" ht="28.5">
      <c r="A9" s="5" t="s">
        <v>16</v>
      </c>
      <c r="B9" s="5" t="s">
        <v>227</v>
      </c>
      <c r="C9" s="5" t="s">
        <v>228</v>
      </c>
      <c r="D9" s="5" t="s">
        <v>229</v>
      </c>
    </row>
    <row r="10" spans="1:4">
      <c r="A10" s="5" t="s">
        <v>33</v>
      </c>
      <c r="B10" s="5" t="s">
        <v>230</v>
      </c>
      <c r="C10" s="5" t="s">
        <v>231</v>
      </c>
      <c r="D10" s="5" t="s">
        <v>232</v>
      </c>
    </row>
    <row r="11" spans="1:4">
      <c r="A11" s="2"/>
      <c r="B11" s="2"/>
      <c r="C11" s="2"/>
      <c r="D11" s="2"/>
    </row>
    <row r="12" spans="1:4">
      <c r="A12" s="2"/>
      <c r="B12" s="2"/>
      <c r="C12" s="2"/>
      <c r="D12" s="2"/>
    </row>
    <row r="13" spans="1:4">
      <c r="A13" s="2"/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mergeCells count="1">
    <mergeCell ref="A1:D1"/>
  </mergeCells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01_テスト結果一覧</vt:lpstr>
      <vt:lpstr>02_T01-T10判定基準</vt:lpstr>
      <vt:lpstr>03_入力ルール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T2404U</cp:lastModifiedBy>
  <dcterms:modified xsi:type="dcterms:W3CDTF">2026-09-29T03:50:42Z</dcterms:modified>
</cp:coreProperties>
</file>