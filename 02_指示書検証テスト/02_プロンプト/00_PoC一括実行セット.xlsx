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ito\OneDrive\デスクトップ\"/>
    </mc:Choice>
  </mc:AlternateContent>
  <xr:revisionPtr revIDLastSave="0" documentId="13_ncr:1_{800D0D3C-C385-4B01-B369-8E7999BD053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01_テスト結果一覧" sheetId="2" r:id="rId2"/>
    <sheet name="02_T01-T10判定基準" sheetId="3" r:id="rId3"/>
    <sheet name="03_入力ルール" sheetId="4" r:id="rId4"/>
    <sheet name="05_ケース別テスト対応" sheetId="5" r:id="rId5"/>
    <sheet name="06_試験ID件数サマリー" sheetId="6" r:id="rId6"/>
    <sheet name="00_使い方" sheetId="7" r:id="rId7"/>
    <sheet name="00_PoC一括実行" sheetId="8" r:id="rId8"/>
    <sheet name="07_画像基準再分類_変更一覧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1" i="9" l="1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2" i="9"/>
  <c r="B14" i="6"/>
  <c r="B13" i="6"/>
  <c r="B12" i="6"/>
  <c r="B11" i="6"/>
  <c r="B10" i="6"/>
  <c r="B9" i="6"/>
  <c r="B8" i="6"/>
  <c r="B7" i="6"/>
  <c r="B6" i="6"/>
  <c r="G5" i="6"/>
  <c r="B5" i="6"/>
  <c r="G4" i="6"/>
  <c r="B4" i="6"/>
  <c r="G3" i="6"/>
  <c r="B3" i="6"/>
  <c r="G2" i="6"/>
  <c r="B2" i="6"/>
  <c r="N71" i="2"/>
  <c r="N39" i="2"/>
  <c r="N36" i="2"/>
  <c r="H4" i="2"/>
  <c r="G4" i="2"/>
  <c r="F4" i="2"/>
  <c r="E4" i="2"/>
  <c r="C4" i="2"/>
  <c r="B4" i="2"/>
  <c r="A4" i="2"/>
  <c r="D4" i="2" s="1"/>
</calcChain>
</file>

<file path=xl/sharedStrings.xml><?xml version="1.0" encoding="utf-8"?>
<sst xmlns="http://schemas.openxmlformats.org/spreadsheetml/2006/main" count="3638" uniqueCount="962">
  <si>
    <t>運送委託書　/　運送引取書</t>
  </si>
  <si>
    <t>申込日</t>
  </si>
  <si>
    <t>2026年09月29日 (Tue)</t>
  </si>
  <si>
    <t>委託者</t>
  </si>
  <si>
    <t>社名</t>
  </si>
  <si>
    <t>●●●●</t>
  </si>
  <si>
    <t>担当者</t>
  </si>
  <si>
    <t>●●　●●</t>
  </si>
  <si>
    <t>TEL</t>
  </si>
  <si>
    <t>住所</t>
  </si>
  <si>
    <t>FAX</t>
  </si>
  <si>
    <t>緊急連絡先</t>
  </si>
  <si>
    <t>引受者</t>
  </si>
  <si>
    <t>御中</t>
  </si>
  <si>
    <t>積地</t>
  </si>
  <si>
    <t>月日</t>
  </si>
  <si>
    <t>時間</t>
  </si>
  <si>
    <t>会社名</t>
  </si>
  <si>
    <t>電話番号</t>
  </si>
  <si>
    <t>その他</t>
  </si>
  <si>
    <t>着地</t>
  </si>
  <si>
    <t>メモ</t>
  </si>
  <si>
    <t>車種</t>
  </si>
  <si>
    <t>積荷</t>
  </si>
  <si>
    <t>雑貨</t>
  </si>
  <si>
    <t>内容</t>
  </si>
  <si>
    <t>積込作業の委託</t>
  </si>
  <si>
    <t>無　・　有</t>
  </si>
  <si>
    <t>作業時間(合計　　　　　　　分程度)</t>
  </si>
  <si>
    <t>作業詳細(　　　　　　　　　　　　　　　　　　　　　)</t>
  </si>
  <si>
    <t>荷卸作業の委託</t>
  </si>
  <si>
    <t>運賃</t>
  </si>
  <si>
    <t>円</t>
  </si>
  <si>
    <t>有料道路利用料(税込み)</t>
  </si>
  <si>
    <t>無　・　有（　　　　　　　　　　　　　　　　　　）</t>
  </si>
  <si>
    <t>燃料サーチャージ</t>
  </si>
  <si>
    <t>待機料</t>
  </si>
  <si>
    <t>(見込待機時間：　　　　　　　　分　　30分あたり単価：　　　　　　　　円)</t>
  </si>
  <si>
    <t>付帯業務料</t>
  </si>
  <si>
    <t>無 ・ 有　(業務日時・内容：　　　　　　　　　　　　　　　　　　　　　　　　　　)</t>
  </si>
  <si>
    <t>＊本運送委託書の金額は、消費税・地方消費税抜きの金額です。支払期日には法定税率による消費税額・地方消費税額分を加算して支払います。</t>
  </si>
  <si>
    <t>締日：末 ・ (　　　　)日　締</t>
  </si>
  <si>
    <t>払日：(　翌　・　翌々　)　月末払　・　(　　　　　　　　　　　　　　　)払</t>
  </si>
  <si>
    <t>支払方法：銀行振込</t>
  </si>
  <si>
    <t>※車番が決まりましたら返信ファックスをお願いします。(FAX:048-910-9701)</t>
  </si>
  <si>
    <t>車番連絡</t>
  </si>
  <si>
    <t>実運送会社</t>
  </si>
  <si>
    <t>車番</t>
  </si>
  <si>
    <t>氏名</t>
  </si>
  <si>
    <t>携帯番号</t>
  </si>
  <si>
    <t>請負階層</t>
  </si>
  <si>
    <t>上記実運送会社は、</t>
  </si>
  <si>
    <t>次　</t>
  </si>
  <si>
    <t>請負事業者となります。</t>
  </si>
  <si>
    <t>　　＊(株)樋口物流サービスが一次請負事業者として何次請負事業者かお教えください。</t>
  </si>
  <si>
    <t>・上記の通り運送を受託します。</t>
  </si>
  <si>
    <t>令和　　　年　　　月　　　日</t>
  </si>
  <si>
    <t>運送受託者（貨物自動車運送事業者）</t>
  </si>
  <si>
    <t>配車指示書AI PoC テスト結果一覧</t>
  </si>
  <si>
    <t>実施件数</t>
  </si>
  <si>
    <t>合格件数</t>
  </si>
  <si>
    <t>不合格件数</t>
  </si>
  <si>
    <t>合格率</t>
  </si>
  <si>
    <t>誤読合計</t>
  </si>
  <si>
    <t>勝手に確定</t>
  </si>
  <si>
    <t>禁止情報誤出力</t>
  </si>
  <si>
    <t>平均総作業時間(分)</t>
  </si>
  <si>
    <t>No.</t>
  </si>
  <si>
    <t>実施日</t>
  </si>
  <si>
    <t>ケースID</t>
  </si>
  <si>
    <t>試験ID</t>
  </si>
  <si>
    <t>原本種別</t>
  </si>
  <si>
    <t>積地エリア</t>
  </si>
  <si>
    <t>卸地エリア</t>
  </si>
  <si>
    <t>難易度</t>
  </si>
  <si>
    <t>流用元有無</t>
  </si>
  <si>
    <t>新規入力項目数</t>
  </si>
  <si>
    <t>AI操作時間(分)</t>
  </si>
  <si>
    <t>人の確認時間(分)</t>
  </si>
  <si>
    <t>修正時間(分)</t>
  </si>
  <si>
    <t>総作業時間(分)</t>
  </si>
  <si>
    <t>明確に読取れた項目数</t>
  </si>
  <si>
    <t>要確認項目数</t>
  </si>
  <si>
    <t>誤読件数</t>
  </si>
  <si>
    <t>勝手に確定した件数</t>
  </si>
  <si>
    <t>積地・卸地順序誤り件数</t>
  </si>
  <si>
    <t>禁止情報誤出力件数</t>
  </si>
  <si>
    <t>テンプレート自動入力</t>
  </si>
  <si>
    <t>修正内容</t>
  </si>
  <si>
    <t>判定者</t>
  </si>
  <si>
    <t>配車担当確認</t>
  </si>
  <si>
    <t>合否</t>
  </si>
  <si>
    <t>確認メモ</t>
  </si>
  <si>
    <t>処理開始時刻</t>
  </si>
  <si>
    <t>画像読込開始時刻</t>
  </si>
  <si>
    <t>画像読込完了時刻</t>
  </si>
  <si>
    <t>画像読込所要時間(秒)</t>
  </si>
  <si>
    <t>処理完了時刻</t>
  </si>
  <si>
    <t>Excel書込開始時刻</t>
  </si>
  <si>
    <t>PDF出力完了時刻</t>
  </si>
  <si>
    <t>Excel書込・PDF出力所要時間(秒)</t>
  </si>
  <si>
    <t>記載なし項目数</t>
  </si>
  <si>
    <t>矛盾項目数</t>
  </si>
  <si>
    <t>AIが人に確認を戻した項目数</t>
  </si>
  <si>
    <t>読込結果反映状況</t>
  </si>
  <si>
    <t>読込結果反映メモ</t>
  </si>
  <si>
    <t>対象</t>
  </si>
  <si>
    <t>帳票／形式</t>
  </si>
  <si>
    <t>主な確認内容</t>
  </si>
  <si>
    <t>合格条件</t>
  </si>
  <si>
    <t>このケースの検証ポイント</t>
  </si>
  <si>
    <t>推奨判定者</t>
  </si>
  <si>
    <t>不合格となる例</t>
  </si>
  <si>
    <t>判定基準備考</t>
  </si>
  <si>
    <t>画像ファイル名</t>
  </si>
  <si>
    <t>D001</t>
  </si>
  <si>
    <t>T01</t>
  </si>
  <si>
    <t>定型印字帳票</t>
  </si>
  <si>
    <t>標準印字・定型帳票</t>
  </si>
  <si>
    <t>貨物配送依頼書</t>
  </si>
  <si>
    <t>明瞭な印字項目の抽出・欄対応</t>
  </si>
  <si>
    <t>明瞭な必須情報の抽出漏れ0件、明瞭な情報の誤入力・誤分類0件。未記載は補完しない。</t>
  </si>
  <si>
    <t>表形式で明瞭な標準帳票。明瞭な印字項目の抽出・欄対応を中心に検証する。</t>
  </si>
  <si>
    <t>配車担当＋作成者</t>
  </si>
  <si>
    <t>明瞭な積地・卸地・日時・数量を誤読／別欄へ誤分類する</t>
  </si>
  <si>
    <t>標準読取のベースライン</t>
  </si>
  <si>
    <t>D001.jpg</t>
  </si>
  <si>
    <t>D002</t>
  </si>
  <si>
    <t>T02</t>
  </si>
  <si>
    <t>劣化FAX</t>
  </si>
  <si>
    <t>FAX・スキャン劣化</t>
  </si>
  <si>
    <t>配送依頼書（FAX）</t>
  </si>
  <si>
    <t>かすれ・黒つぶれ・低コントラスト箇所の扱い</t>
  </si>
  <si>
    <t>判読できる箇所の誤読0件。判読不能箇所の勝手な確定0件。不明は要確認にする。</t>
  </si>
  <si>
    <t>黒つぶれ・かすれ・走査ノイズが目立つFAX。かすれ・黒つぶれ・低コントラスト箇所の扱いを中心に検証する。</t>
  </si>
  <si>
    <t>潰れた電話番号や文字を推測して確定する</t>
  </si>
  <si>
    <t>画像劣化は安全側に倒す</t>
  </si>
  <si>
    <t>D002.jpg</t>
  </si>
  <si>
    <t>D003</t>
  </si>
  <si>
    <t>T03</t>
  </si>
  <si>
    <t>全手書きメモ</t>
  </si>
  <si>
    <t>手書き主体</t>
  </si>
  <si>
    <t>運送手配メモ</t>
  </si>
  <si>
    <t>手書き情報の抽出・構造化</t>
  </si>
  <si>
    <t>明確に読める手書き情報の反映漏れ0件、誤読0件。判読不能は要確認にする。</t>
  </si>
  <si>
    <t>紙面全体が手書きで、吹き出し状の追記もある。手書き情報の抽出・構造化を中心に検証する。</t>
  </si>
  <si>
    <t>読めない手書きを推測する／積地と卸地を取り違える</t>
  </si>
  <si>
    <t>手書きの表現揺れを吸収しつつ原文を保持</t>
  </si>
  <si>
    <t>D003.jpg</t>
  </si>
  <si>
    <t>D004</t>
  </si>
  <si>
    <t>T07</t>
  </si>
  <si>
    <t>メール印刷＋手書き追記</t>
  </si>
  <si>
    <t>訂正・追記・矛盾</t>
  </si>
  <si>
    <t>配送依頼メール</t>
  </si>
  <si>
    <t>訂正前後・追記・矛盾情報の優先判断</t>
  </si>
  <si>
    <t>明確な訂正後情報の採用漏れ0件。取消線前の値を採用しない。矛盾が残る場合は勝手に決めず要確認へ戻す。</t>
  </si>
  <si>
    <t>メール本文に手書きの時刻・連絡注意等が追加されている。訂正前後・追記・矛盾情報の優先判断を中心に検証する。</t>
  </si>
  <si>
    <t>訂正前の数量・時刻を採用／付箋や赤字追記を無視／矛盾する一方を勝手に採用</t>
  </si>
  <si>
    <t>訂正の意図が不明なら人が最終判断</t>
  </si>
  <si>
    <t>D004.jpg</t>
  </si>
  <si>
    <t>D005</t>
  </si>
  <si>
    <t>定型印字帳票＋手書き訂正</t>
  </si>
  <si>
    <t>運送指示書</t>
  </si>
  <si>
    <t>積込時刻・数量などに手書き訂正が入っている。訂正前後・追記・矛盾情報の優先判断を中心に検証する。</t>
  </si>
  <si>
    <t>D005.jpg</t>
  </si>
  <si>
    <t>D006</t>
  </si>
  <si>
    <t>劣化FAX＋手書き記入</t>
  </si>
  <si>
    <t>運送依頼書（FAX）</t>
  </si>
  <si>
    <t>FAXノイズが強く、手書き記入欄も混在している。かすれ・黒つぶれ・低コントラスト箇所の扱いを中心に検証する。</t>
  </si>
  <si>
    <t>D006.jpg</t>
  </si>
  <si>
    <t>D007</t>
  </si>
  <si>
    <t>T05</t>
  </si>
  <si>
    <t>複数地点ルート表（印字）</t>
  </si>
  <si>
    <t>複数地点・複数案件</t>
  </si>
  <si>
    <t>配送依頼書（複数地点）</t>
  </si>
  <si>
    <t>地点・案件の順序と日時・荷物の紐付け保持</t>
  </si>
  <si>
    <t>地点・案件の欠落0件、順序逆転0件、日時・荷物・担当の紐付け誤り0件。</t>
  </si>
  <si>
    <t>積込2地点・荷卸2地点が順序付きで記載されている。地点・案件の順序と日時・荷物の紐付け保持を中心に検証する。</t>
  </si>
  <si>
    <t>配車担当</t>
  </si>
  <si>
    <t>積地②と卸地①を逆転する／別案件の数量を混在させる</t>
  </si>
  <si>
    <t>順番や紐付けが不明なら要確認</t>
  </si>
  <si>
    <t>D007.jpg</t>
  </si>
  <si>
    <t>D008</t>
  </si>
  <si>
    <t>T06</t>
  </si>
  <si>
    <t>印字依頼文書</t>
  </si>
  <si>
    <t>曖昧日時・時間幅</t>
  </si>
  <si>
    <t>輸送手配依頼文書</t>
  </si>
  <si>
    <t>AM/PM・午前中・頃・まで・以降・時間幅の保持</t>
  </si>
  <si>
    <t>日付・曜日・AM/PM誤り0件。条件語・時間幅の欠落0件。曖昧表現を具体時刻へ勝手に変換しない。</t>
  </si>
  <si>
    <t>『午前9時頃』『午前中』『午後2時まで』等の幅を持つ時刻表現がある。AM/PM・午前中・頃・まで・以降・時間幅の保持を中心に検証する。</t>
  </si>
  <si>
    <t>『午前中』『PM』『9時頃』を単一時刻へ確定する</t>
  </si>
  <si>
    <t>原文条件を保持</t>
  </si>
  <si>
    <t>D008.jpg</t>
  </si>
  <si>
    <t>D009</t>
  </si>
  <si>
    <t>印字帳票＋大量手書き追記</t>
  </si>
  <si>
    <t>運送手配依頼書</t>
  </si>
  <si>
    <t>多数の赤字・青字追記、地図、時刻修正が混在している。訂正前後・追記・矛盾情報の優先判断を中心に検証する。</t>
  </si>
  <si>
    <t>D009.jpg</t>
  </si>
  <si>
    <t>D010</t>
  </si>
  <si>
    <t>運行依頼書</t>
  </si>
  <si>
    <t>明瞭な単一積地・単一納品先の標準帳票。明瞭な印字項目の抽出・欄対応を中心に検証する。</t>
  </si>
  <si>
    <t>D010.jpg</t>
  </si>
  <si>
    <t>D011</t>
  </si>
  <si>
    <t>明瞭な表形式の標準印字帳票。明瞭な印字項目の抽出・欄対応を中心に検証する。</t>
  </si>
  <si>
    <t>D011.jpg</t>
  </si>
  <si>
    <t>D012</t>
  </si>
  <si>
    <t>罫線・文字のかすれとFAXノイズがある。かすれ・黒つぶれ・低コントラスト箇所の扱いを中心に検証する。</t>
  </si>
  <si>
    <t>D012.jpg</t>
  </si>
  <si>
    <t>D013</t>
  </si>
  <si>
    <t>T09</t>
  </si>
  <si>
    <t>全手書きメモ（金額記載あり）</t>
  </si>
  <si>
    <t>禁止情報混在</t>
  </si>
  <si>
    <t>運賃・支払・金額情報の非転記</t>
  </si>
  <si>
    <t>禁止情報誤出力0件。運行に必要な情報だけを抽出し、運賃・支払・単価等を配車指示書へ転記しない。</t>
  </si>
  <si>
    <t>手書き原本に運賃金額・税別表記が明記されている。運賃・支払・金額情報の非転記を中心に検証する。</t>
  </si>
  <si>
    <t>配車担当＋社内ルール判定者</t>
  </si>
  <si>
    <t>運賃・受注金額・支払条件などを運送会社向け指示書へ出力する</t>
  </si>
  <si>
    <t>禁止範囲は運用ルールを優先</t>
  </si>
  <si>
    <t>D013.jpg</t>
  </si>
  <si>
    <t>D014</t>
  </si>
  <si>
    <t>T04</t>
  </si>
  <si>
    <t>メール・自由文</t>
  </si>
  <si>
    <t>文章・メール本文からの項目整理</t>
  </si>
  <si>
    <t>明確な必須情報の抽出漏れ0件、積地・卸地・日時・荷物の誤分類0件。</t>
  </si>
  <si>
    <t>メール本文が主体で、右余白に簡単な手書き追記がある。文章・メール本文からの項目整理を中心に検証する。</t>
  </si>
  <si>
    <t>文章中の卸地を積地欄へ入れる／担当・日時の紐付けを崩す</t>
  </si>
  <si>
    <t>レイアウト非依存</t>
  </si>
  <si>
    <t>D014.jpg</t>
  </si>
  <si>
    <t>D015</t>
  </si>
  <si>
    <t>配車指示書（多地点配送）</t>
  </si>
  <si>
    <t>積込①②・卸地①②の4地点ルートが表で明示されている。地点・案件の順序と日時・荷物の紐付け保持を中心に検証する。</t>
  </si>
  <si>
    <t>D015.jpg</t>
  </si>
  <si>
    <t>D016</t>
  </si>
  <si>
    <t>印字依頼文書（文章形式）</t>
  </si>
  <si>
    <t>貨物輸送手配のお願い</t>
  </si>
  <si>
    <t>定型表ではなく文章・箇条書きで条件が記載されている。文章・メール本文からの項目整理を中心に検証する。</t>
  </si>
  <si>
    <t>D016.jpg</t>
  </si>
  <si>
    <t>D017</t>
  </si>
  <si>
    <t>劣化FAX＋赤字訂正</t>
  </si>
  <si>
    <t>FAX原本に赤字で時刻・車種・条件の修正が多数入っている。訂正前後・追記・矛盾情報の優先判断を中心に検証する。</t>
  </si>
  <si>
    <t>D017.jpg</t>
  </si>
  <si>
    <t>D018</t>
  </si>
  <si>
    <t>定型帳票＋多地点＋手書き訂正</t>
  </si>
  <si>
    <t>車両手配依頼書</t>
  </si>
  <si>
    <t>複数地点の表に時刻・数量・重量・日付の訂正が重ね書きされている。訂正前後・追記・矛盾情報の優先判断を中心に検証する。</t>
  </si>
  <si>
    <t>D018.jpg</t>
  </si>
  <si>
    <t>D019</t>
  </si>
  <si>
    <t>FAX帳票＋手書き時刻表現</t>
  </si>
  <si>
    <t>『AM中』『午前中着希望』『9時でもOK』など曖昧な時間条件がある。AM/PM・午前中・頃・まで・以降・時間幅の保持を中心に検証する。</t>
  </si>
  <si>
    <t>D019.jpg</t>
  </si>
  <si>
    <t>D020</t>
  </si>
  <si>
    <t>T13</t>
  </si>
  <si>
    <t>定型印字帳票＋写真・付箋・手書き地図</t>
  </si>
  <si>
    <t>複合資料・添付情報</t>
  </si>
  <si>
    <t>運送指示書＋補助資料</t>
  </si>
  <si>
    <t>本文・写真・地図・付箋・別紙等の複数情報源の統合</t>
  </si>
  <si>
    <t>運行に必要な追記・付箋・地図情報の見落とし0件。本文との重複・矛盾を整理し、不明な優先関係は要確認。</t>
  </si>
  <si>
    <t>本文に荷姿写真、付箋、手書きルート図、追記メモが同一紙面で併記されている。本文・写真・地図・付箋・別紙等の複数情報源の統合を中心に検証する。</t>
  </si>
  <si>
    <t>付箋・地図・添付写真の条件を無視／別情報源の内容を誤って上書き</t>
  </si>
  <si>
    <t>複数情報源の出所と関係を保つ</t>
  </si>
  <si>
    <t>D020.jpg</t>
  </si>
  <si>
    <t>D021</t>
  </si>
  <si>
    <t>配車依頼書</t>
  </si>
  <si>
    <t>明瞭な表形式で標準項目が揃っている。明瞭な印字項目の抽出・欄対応を中心に検証する。</t>
  </si>
  <si>
    <t>D021.jpg</t>
  </si>
  <si>
    <t>D022</t>
  </si>
  <si>
    <t>劣化FAX＋運賃記載</t>
  </si>
  <si>
    <t>FAX原本に運賃『¥88,000』が明示されている。運賃・支払・金額情報の非転記を中心に検証する。</t>
  </si>
  <si>
    <t>D022.jpg</t>
  </si>
  <si>
    <t>D023</t>
  </si>
  <si>
    <t>全手書きメモ＋訂正</t>
  </si>
  <si>
    <t>運送依頼書（メモ）</t>
  </si>
  <si>
    <t>手書きの数量が取消線で訂正され、AM着等の追記もある。訂正前後・追記・矛盾情報の優先判断を中心に検証する。</t>
  </si>
  <si>
    <t>D023.jpg</t>
  </si>
  <si>
    <t>D024</t>
  </si>
  <si>
    <t>メール印刷</t>
  </si>
  <si>
    <t>長文メール本文から条件を抽出する非定型原本。文章・メール本文からの項目整理を中心に検証する。</t>
  </si>
  <si>
    <t>D024.jpg</t>
  </si>
  <si>
    <t>D025</t>
  </si>
  <si>
    <t>運送依頼書（複数地点）</t>
  </si>
  <si>
    <t>積込①②・卸①②が日付時刻付きで明示されている。地点・案件の順序と日時・荷物の紐付け保持を中心に検証する。</t>
  </si>
  <si>
    <t>D025.jpg</t>
  </si>
  <si>
    <t>D026</t>
  </si>
  <si>
    <t>FAX帳票＋手書き時刻指定</t>
  </si>
  <si>
    <t>配送依頼書（スポット便）</t>
  </si>
  <si>
    <t>時刻選択欄に手書きで『午前中』等の条件指定がある。AM/PM・午前中・頃・まで・以降・時間幅の保持を中心に検証する。</t>
  </si>
  <si>
    <t>D026.jpg</t>
  </si>
  <si>
    <t>D027</t>
  </si>
  <si>
    <t>定型印字帳票＋付箋・追記</t>
  </si>
  <si>
    <t>印字の『15時以降でも可』と付箋の『朝一希望』が併記され優先確認が必要。訂正前後・追記・矛盾情報の優先判断を中心に検証する。</t>
  </si>
  <si>
    <t>D027.jpg</t>
  </si>
  <si>
    <t>D028</t>
  </si>
  <si>
    <t>T08</t>
  </si>
  <si>
    <t>定型印字帳票＋未確定・追記</t>
  </si>
  <si>
    <t>情報不足・部分資料</t>
  </si>
  <si>
    <t>欠落・黒塗り・補助資料のみの場合の扱い</t>
  </si>
  <si>
    <t>不足情報の推測確定0件。欠落・黒塗り・未定は記載なし／要確認として扱い、補助資料から存在しない値を作らない。</t>
  </si>
  <si>
    <t>重量『未定』、後日連絡、時刻変更など未確定情報が残っている。欠落・黒塗り・補助資料のみの場合の扱いを中心に検証する。</t>
  </si>
  <si>
    <t>未記載の卸地・連絡先・重量などを推測して入力する</t>
  </si>
  <si>
    <t>不足を検知して確認へ戻す</t>
  </si>
  <si>
    <t>D028.jpg</t>
  </si>
  <si>
    <t>D029</t>
  </si>
  <si>
    <t>定型印字帳票＋運賃・支払情報</t>
  </si>
  <si>
    <t>輸送依頼書</t>
  </si>
  <si>
    <t>受注運賃『¥135,000』と支払条件が帳票内に明記されている。運賃・支払・金額情報の非転記を中心に検証する。</t>
  </si>
  <si>
    <t>D029.jpg</t>
  </si>
  <si>
    <t>D030</t>
  </si>
  <si>
    <t>T10</t>
  </si>
  <si>
    <t>今回案件＋前回実績併記帳票</t>
  </si>
  <si>
    <t>今回・過去／参考情報併記</t>
  </si>
  <si>
    <t>運送依頼書（今回／前回比較）</t>
  </si>
  <si>
    <t>今回情報と過去・参考情報の優先制御</t>
  </si>
  <si>
    <t>過去・参考値による今回情報の自動上書き0件。今回欄と参考欄を混在させない。</t>
  </si>
  <si>
    <t>今回依頼の下に前回実績が別枠で併記されている。今回情報と過去・参考情報の優先制御を中心に検証する。</t>
  </si>
  <si>
    <t>前回担当者・数量・時刻を今回欄へ確定する</t>
  </si>
  <si>
    <t>今回原本を優先し、過去情報は候補扱い</t>
  </si>
  <si>
    <t>D030.jpg</t>
  </si>
  <si>
    <t>D031</t>
  </si>
  <si>
    <t>配車メモ</t>
  </si>
  <si>
    <t>『5/12 PM』『14時までに着』という幅・期限表現がある。AM/PM・午前中・頃・まで・以降・時間幅の保持を中心に検証する。</t>
  </si>
  <si>
    <t>D031.jpg</t>
  </si>
  <si>
    <t>D032</t>
  </si>
  <si>
    <t>FAX送信票（鮮明）</t>
  </si>
  <si>
    <t>FAX送信票／配車依頼</t>
  </si>
  <si>
    <t>FAX形式だが文字・表は鮮明で標準項目抽出が中心。明瞭な印字項目の抽出・欄対応を中心に検証する。</t>
  </si>
  <si>
    <t>D032.jpg</t>
  </si>
  <si>
    <t>D033</t>
  </si>
  <si>
    <t>手書き原本に納品『午前中』指定がある。AM/PM・午前中・頃・まで・以降・時間幅の保持を中心に検証する。</t>
  </si>
  <si>
    <t>D033.jpg</t>
  </si>
  <si>
    <t>D034</t>
  </si>
  <si>
    <t>メール本文の箇条書きから運送条件を整理する形式。文章・メール本文からの項目整理を中心に検証する。</t>
  </si>
  <si>
    <t>D034.jpg</t>
  </si>
  <si>
    <t>D035</t>
  </si>
  <si>
    <t>手書きメモ＋付箋</t>
  </si>
  <si>
    <t>手書き本文に連絡先付箋が追加されたメモ主体の原本。手書き情報の抽出・構造化を中心に検証する。</t>
  </si>
  <si>
    <t>D035.jpg</t>
  </si>
  <si>
    <t>D036</t>
  </si>
  <si>
    <t>小型定型印字帳票</t>
  </si>
  <si>
    <t>運送依頼書</t>
  </si>
  <si>
    <t>小型だが明瞭な表形式の印字帳票。明瞭な印字項目の抽出・欄対応を中心に検証する。</t>
  </si>
  <si>
    <t>D036.jpg</t>
  </si>
  <si>
    <t>D037</t>
  </si>
  <si>
    <t>配車依頼（FAX）</t>
  </si>
  <si>
    <t>黒つぶれ・ノイズ・低コントラストが強いFAX。かすれ・黒つぶれ・低コントラスト箇所の扱いを中心に検証する。</t>
  </si>
  <si>
    <t>D037.jpg</t>
  </si>
  <si>
    <t>D038</t>
  </si>
  <si>
    <t>チャット／メッセージ画面＋地図</t>
  </si>
  <si>
    <t>メッセージ＋位置情報</t>
  </si>
  <si>
    <t>メッセージ本文と地図位置情報が同一画像に含まれる複合資料。本文・写真・地図・付箋・別紙等の複数情報源の統合を中心に検証する。</t>
  </si>
  <si>
    <t>D038.jpg</t>
  </si>
  <si>
    <t>D039</t>
  </si>
  <si>
    <t>手書き依頼メモ</t>
  </si>
  <si>
    <t>配車依頼メモ</t>
  </si>
  <si>
    <t>手書きの項目列挙と注意書きから構造化する原本。手書き情報の抽出・構造化を中心に検証する。</t>
  </si>
  <si>
    <t>D039.jpg</t>
  </si>
  <si>
    <t>D040</t>
  </si>
  <si>
    <t>手書きルートメモ</t>
  </si>
  <si>
    <t>配車ルートメモ</t>
  </si>
  <si>
    <t>積地→卸地の矢印と荷物条件を手書きで示したメモ。手書き情報の抽出・構造化を中心に検証する。</t>
  </si>
  <si>
    <t>D040.jpg</t>
  </si>
  <si>
    <t>D041</t>
  </si>
  <si>
    <t>T11</t>
  </si>
  <si>
    <t>しわ・破れのある印字帳票</t>
  </si>
  <si>
    <t>汚損・しわ・物理劣化</t>
  </si>
  <si>
    <t>配送依頼書</t>
  </si>
  <si>
    <t>汚れ・しわ・破れ・経年劣化がある原本の読取</t>
  </si>
  <si>
    <t>物理劣化の影響がない明瞭部分の誤読0件。欠損・汚損で読めない箇所の勝手な補完0件。</t>
  </si>
  <si>
    <t>紙面に強いしわ・破れ・汚れがある印字帳票。汚れ・しわ・破れ・経年劣化がある原本の読取を中心に検証する。</t>
  </si>
  <si>
    <t>汚れや折れで欠けた文字を推測して確定する</t>
  </si>
  <si>
    <t>FAXノイズではなく原紙の物理劣化</t>
  </si>
  <si>
    <t>D041.jpg</t>
  </si>
  <si>
    <t>D042</t>
  </si>
  <si>
    <t>手書きメモ</t>
  </si>
  <si>
    <t>積地・卸地・荷物・車種を簡潔に手書きしたメモ。手書き情報の抽出・構造化を中心に検証する。</t>
  </si>
  <si>
    <t>D042.jpg</t>
  </si>
  <si>
    <t>D043</t>
  </si>
  <si>
    <t>FAX送信票／配送手配</t>
  </si>
  <si>
    <t>FAX形式だが判読性が高い小型定型帳票。明瞭な印字項目の抽出・欄対応を中心に検証する。</t>
  </si>
  <si>
    <t>D043.jpg</t>
  </si>
  <si>
    <t>D044</t>
  </si>
  <si>
    <t>スマホメール画面</t>
  </si>
  <si>
    <t>メール本文に希望日『AM指定』があり具体時刻へ変換してはいけない。AM/PM・午前中・頃・まで・以降・時間幅の保持を中心に検証する。</t>
  </si>
  <si>
    <t>D044.jpg</t>
  </si>
  <si>
    <t>D045</t>
  </si>
  <si>
    <t>汚損した印字帳票</t>
  </si>
  <si>
    <t>出荷指示書</t>
  </si>
  <si>
    <t>大きなシミ・汚れで一部背景が劣化した印字帳票。汚れ・しわ・破れ・経年劣化がある原本の読取を中心に検証する。</t>
  </si>
  <si>
    <t>D045.jpg</t>
  </si>
  <si>
    <t>D046</t>
  </si>
  <si>
    <t>手書き現場搬入図（補助資料）</t>
  </si>
  <si>
    <t>現場搬入図</t>
  </si>
  <si>
    <t>地図と車両制約のみで、配車の主要項目が揃わない補助資料。欠落・黒塗り・補助資料のみの場合の扱いを中心に検証する。</t>
  </si>
  <si>
    <t>D046.jpg</t>
  </si>
  <si>
    <t>D047</t>
  </si>
  <si>
    <t>工事資材搬入依頼書</t>
  </si>
  <si>
    <t>明瞭な小型表形式で基本情報が揃っている。明瞭な印字項目の抽出・欄対応を中心に検証する。</t>
  </si>
  <si>
    <t>D047.jpg</t>
  </si>
  <si>
    <t>D048</t>
  </si>
  <si>
    <t>付箋手書きメモ</t>
  </si>
  <si>
    <t>付箋1枚に積卸・荷物・車種・連絡先を手書きした原本。手書き情報の抽出・構造化を中心に検証する。</t>
  </si>
  <si>
    <t>D048.jpg</t>
  </si>
  <si>
    <t>D049</t>
  </si>
  <si>
    <t>強劣化FAX</t>
  </si>
  <si>
    <t>配送依頼（FAX）</t>
  </si>
  <si>
    <t>黒つぶれと走査ノイズが非常に強いFAX。かすれ・黒つぶれ・低コントラスト箇所の扱いを中心に検証する。</t>
  </si>
  <si>
    <t>D049.jpg</t>
  </si>
  <si>
    <t>D050</t>
  </si>
  <si>
    <t>明瞭な印字表で基本項目を抽出する原本。明瞭な印字項目の抽出・欄対応を中心に検証する。</t>
  </si>
  <si>
    <t>D050.jpg</t>
  </si>
  <si>
    <t>D051</t>
  </si>
  <si>
    <t>しわのある印字帳票</t>
  </si>
  <si>
    <t>紙面全体にしわ・折れがあるが印字項目が残る。汚れ・しわ・破れ・経年劣化がある原本の読取を中心に検証する。</t>
  </si>
  <si>
    <t>D051.jpg</t>
  </si>
  <si>
    <t>D052</t>
  </si>
  <si>
    <t>『午前中積込』『16時まで』という時間幅・期限条件がある。AM/PM・午前中・頃・まで・以降・時間幅の保持を中心に検証する。</t>
  </si>
  <si>
    <t>D052.jpg</t>
  </si>
  <si>
    <t>D053</t>
  </si>
  <si>
    <t>運送依頼（FAX）</t>
  </si>
  <si>
    <t>低コントラスト・黒点・縁ノイズがあるFAX。かすれ・黒つぶれ・低コントラスト箇所の扱いを中心に検証する。</t>
  </si>
  <si>
    <t>D053.jpg</t>
  </si>
  <si>
    <t>D054</t>
  </si>
  <si>
    <t>配車お願いメモ</t>
  </si>
  <si>
    <t>手書きで時刻・積卸・荷物・車両条件を列挙している。手書き情報の抽出・構造化を中心に検証する。</t>
  </si>
  <si>
    <t>D054.jpg</t>
  </si>
  <si>
    <t>D055</t>
  </si>
  <si>
    <t>T12</t>
  </si>
  <si>
    <t>温度指定付き印字帳票</t>
  </si>
  <si>
    <t>特殊輸送条件</t>
  </si>
  <si>
    <t>配送指示書兼受領書</t>
  </si>
  <si>
    <t>温度・危険物・精密品・車両制約等の重要条件保持</t>
  </si>
  <si>
    <t>温度、危険物区分、荷扱い禁止事項、必要車両・装備など安全・品質に関わる条件の欠落0件、意味変更0件。</t>
  </si>
  <si>
    <t>冷凍品・温度『-20℃』等の品質条件が明記されている。温度・危険物・精密品・車両制約等の重要条件保持を中心に検証する。</t>
  </si>
  <si>
    <t>温度指定や危険物表示、横倒し禁止、必要装備を落とす／緩和する</t>
  </si>
  <si>
    <t>安全・品質条件を最優先で保持</t>
  </si>
  <si>
    <t>D055.jpg</t>
  </si>
  <si>
    <t>D056</t>
  </si>
  <si>
    <t>手書きで積卸・荷物・車種・注意事項を記載している。手書き情報の抽出・構造化を中心に検証する。</t>
  </si>
  <si>
    <t>D056.jpg</t>
  </si>
  <si>
    <t>D057</t>
  </si>
  <si>
    <t>定型印字帳票＋赤字追記</t>
  </si>
  <si>
    <t>運送手配書</t>
  </si>
  <si>
    <t>印字情報に赤字で『17時必着』等の追加条件が追記されている。訂正前後・追記・矛盾情報の優先判断を中心に検証する。</t>
  </si>
  <si>
    <t>D057.jpg</t>
  </si>
  <si>
    <t>D058</t>
  </si>
  <si>
    <t>付箋手書きメモ＋簡易地図</t>
  </si>
  <si>
    <t>配車メモ＋地図</t>
  </si>
  <si>
    <t>付箋本文と手書きの簡易位置図を合わせて読む必要がある。本文・写真・地図・付箋・別紙等の複数情報源の統合を中心に検証する。</t>
  </si>
  <si>
    <t>D058.jpg</t>
  </si>
  <si>
    <t>D059</t>
  </si>
  <si>
    <t>メール本文＋表形式</t>
  </si>
  <si>
    <t>出荷依頼メール</t>
  </si>
  <si>
    <t>メール形式の本文内に簡易表で運送条件が記載されている。文章・メール本文からの項目整理を中心に検証する。</t>
  </si>
  <si>
    <t>D059.jpg</t>
  </si>
  <si>
    <t>D060</t>
  </si>
  <si>
    <t>経年汚れのある印字帳票</t>
  </si>
  <si>
    <t>配車連絡書</t>
  </si>
  <si>
    <t>掲示・保管されたような汚れや端部劣化がある印字表。汚れ・しわ・破れ・経年劣化がある原本の読取を中心に検証する。</t>
  </si>
  <si>
    <t>D060.jpg</t>
  </si>
  <si>
    <t>D061</t>
  </si>
  <si>
    <t>明瞭な表形式の標準依頼票。明瞭な印字項目の抽出・欄対応を中心に検証する。</t>
  </si>
  <si>
    <t>D061.jpg</t>
  </si>
  <si>
    <t>D062</t>
  </si>
  <si>
    <t>FAXノイズと部分的な文字つぶれがある。かすれ・黒つぶれ・低コントラスト箇所の扱いを中心に検証する。</t>
  </si>
  <si>
    <t>D062.jpg</t>
  </si>
  <si>
    <t>D063</t>
  </si>
  <si>
    <t>ノート紙に積卸・荷物・車両条件を手書きした原本。手書き情報の抽出・構造化を中心に検証する。</t>
  </si>
  <si>
    <t>D063.jpg</t>
  </si>
  <si>
    <t>D064</t>
  </si>
  <si>
    <t>メール本文（冷凍・温度指定）</t>
  </si>
  <si>
    <t>冷凍食品、4t冷凍車、温度『-18℃設定』が明記されている。温度・危険物・精密品・車両制約等の重要条件保持を中心に検証する。</t>
  </si>
  <si>
    <t>D064.jpg</t>
  </si>
  <si>
    <t>D065</t>
  </si>
  <si>
    <t>汚損した手書き帳票</t>
  </si>
  <si>
    <t>配車依頼</t>
  </si>
  <si>
    <t>大きな水濡れ・シミがある手書き記入帳票。汚れ・しわ・破れ・経年劣化がある原本の読取を中心に検証する。</t>
  </si>
  <si>
    <t>D065.jpg</t>
  </si>
  <si>
    <t>D066</t>
  </si>
  <si>
    <t>小型定型印字帳票（精密機器）</t>
  </si>
  <si>
    <t>精密機器、横倒厳禁・取扱注意、箱車指定等の重要条件がある。温度・危険物・精密品・車両制約等の重要条件保持を中心に検証する。</t>
  </si>
  <si>
    <t>D066.jpg</t>
  </si>
  <si>
    <t>D067</t>
  </si>
  <si>
    <t>手書き本文に『至急対応』付箋が付いた原本。手書き情報の抽出・構造化を中心に検証する。</t>
  </si>
  <si>
    <t>D067.jpg</t>
  </si>
  <si>
    <t>D068</t>
  </si>
  <si>
    <t>危険物表示付き印字帳票</t>
  </si>
  <si>
    <t>『危険物』表示、消防法該当、ドラム缶等の安全条件がある。温度・危険物・精密品・車両制約等の重要条件保持を中心に検証する。</t>
  </si>
  <si>
    <t>D068.jpg</t>
  </si>
  <si>
    <t>D069</t>
  </si>
  <si>
    <t>手書き依頼メモ＋訂正</t>
  </si>
  <si>
    <t>積地・車種・日付時刻などに取消線と赤字変更がある。訂正前後・追記・矛盾情報の優先判断を中心に検証する。</t>
  </si>
  <si>
    <t>D069.jpg</t>
  </si>
  <si>
    <t>D070</t>
  </si>
  <si>
    <t>複数案件一覧（印字）</t>
  </si>
  <si>
    <t>配車依頼（複数件）</t>
  </si>
  <si>
    <t>2件の積卸・品名・数量・時刻を同一車両で扱う一覧。地点・案件の順序と日時・荷物の紐付け保持を中心に検証する。</t>
  </si>
  <si>
    <t>D070.jpg</t>
  </si>
  <si>
    <t>D071</t>
  </si>
  <si>
    <t>緊急配車メモ</t>
  </si>
  <si>
    <t>手書きで積込・納品・品目・重量を記した至急メモ。手書き情報の抽出・構造化を中心に検証する。</t>
  </si>
  <si>
    <t>D071.jpg</t>
  </si>
  <si>
    <t>D072</t>
  </si>
  <si>
    <t>明瞭な単一案件の表形式帳票。明瞭な印字項目の抽出・欄対応を中心に検証する。</t>
  </si>
  <si>
    <t>D072.jpg</t>
  </si>
  <si>
    <t>D073</t>
  </si>
  <si>
    <t>FAX送信文（鮮明）</t>
  </si>
  <si>
    <t>送信FAX／配送依頼</t>
  </si>
  <si>
    <t>FAX形式だが文字が鮮明で基本項目の抽出が中心。明瞭な印字項目の抽出・欄対応を中心に検証する。</t>
  </si>
  <si>
    <t>D073.jpg</t>
  </si>
  <si>
    <t>D074</t>
  </si>
  <si>
    <t>メール本文から積卸・品名・数量・車種・注意事項を整理する。文章・メール本文からの項目整理を中心に検証する。</t>
  </si>
  <si>
    <t>D074.jpg</t>
  </si>
  <si>
    <t>D075</t>
  </si>
  <si>
    <t>定型印字帳票（ドラム缶・特殊条件）</t>
  </si>
  <si>
    <t>ドラム缶、緊急表示、危険物該当有無など取扱条件の保持が重要。温度・危険物・精密品・車両制約等の重要条件保持を中心に検証する。</t>
  </si>
  <si>
    <t>D075.jpg</t>
  </si>
  <si>
    <t>D076</t>
  </si>
  <si>
    <t>輸送依頼文書</t>
  </si>
  <si>
    <t>表ではなく文章・番号付き項目で運送条件を記載している。文章・メール本文からの項目整理を中心に検証する。</t>
  </si>
  <si>
    <t>D076.jpg</t>
  </si>
  <si>
    <t>D077</t>
  </si>
  <si>
    <t>手書きで積卸時刻・地点・数量・車種条件を記載している。手書き情報の抽出・構造化を中心に検証する。</t>
  </si>
  <si>
    <t>D077.jpg</t>
  </si>
  <si>
    <t>D078</t>
  </si>
  <si>
    <t>納品依頼書</t>
  </si>
  <si>
    <t>明瞭な表形式で単一案件の基本情報が揃う。明瞭な印字項目の抽出・欄対応を中心に検証する。</t>
  </si>
  <si>
    <t>D078.jpg</t>
  </si>
  <si>
    <t>D079</t>
  </si>
  <si>
    <t>FAX送信／配車依頼</t>
  </si>
  <si>
    <t>FAXノイズ・汚れ・低コントラストがある。かすれ・黒つぶれ・低コントラスト箇所の扱いを中心に検証する。</t>
  </si>
  <si>
    <t>D079.jpg</t>
  </si>
  <si>
    <t>D080</t>
  </si>
  <si>
    <t>付箋に積卸時刻・荷物・数量・重量・注意事項を手書きしている。手書き情報の抽出・構造化を中心に検証する。</t>
  </si>
  <si>
    <t>D080.jpg</t>
  </si>
  <si>
    <t>D081</t>
  </si>
  <si>
    <t>明瞭な基本項目の表形式帳票。明瞭な印字項目の抽出・欄対応を中心に検証する。</t>
  </si>
  <si>
    <t>D081.jpg</t>
  </si>
  <si>
    <t>D082</t>
  </si>
  <si>
    <t>手書きでAM積込、卸時刻、品名・数量・車種を記載。手書き情報の抽出・構造化を中心に検証する。</t>
  </si>
  <si>
    <t>D082.jpg</t>
  </si>
  <si>
    <t>D083</t>
  </si>
  <si>
    <t>定型印字帳票（連絡先黒塗り）</t>
  </si>
  <si>
    <t>TEL/FAX欄が黒塗りで一部情報が意図的に欠落している。欠落・黒塗り・補助資料のみの場合の扱いを中心に検証する。</t>
  </si>
  <si>
    <t>D083.jpg</t>
  </si>
  <si>
    <t>D084</t>
  </si>
  <si>
    <t>紙面に大きなシミ・経年汚れがある。汚れ・しわ・破れ・経年劣化がある原本の読取を中心に検証する。</t>
  </si>
  <si>
    <t>D084.jpg</t>
  </si>
  <si>
    <t>D085</t>
  </si>
  <si>
    <t>FAX形式だが読みやすく標準抽出が中心。明瞭な印字項目の抽出・欄対応を中心に検証する。</t>
  </si>
  <si>
    <t>D085.jpg</t>
  </si>
  <si>
    <t>D086</t>
  </si>
  <si>
    <t>手書きメモ（午前中必着）</t>
  </si>
  <si>
    <t>『午前中必着』という幅を持つ納品条件と積込時刻が併記されている。AM/PM・午前中・頃・まで・以降・時間幅の保持を中心に検証する。</t>
  </si>
  <si>
    <t>D086.jpg</t>
  </si>
  <si>
    <t>D087</t>
  </si>
  <si>
    <t>出荷案内</t>
  </si>
  <si>
    <t>明瞭な表形式で基本情報と至急表示がある。明瞭な印字項目の抽出・欄対応を中心に検証する。</t>
  </si>
  <si>
    <t>D087.jpg</t>
  </si>
  <si>
    <t>D088</t>
  </si>
  <si>
    <t>手書きメモ（AM指定）</t>
  </si>
  <si>
    <t>日付に『AM』指定があり具体時刻を推測してはいけない。AM/PM・午前中・頃・まで・以降・時間幅の保持を中心に検証する。</t>
  </si>
  <si>
    <t>D088.jpg</t>
  </si>
  <si>
    <t>D089</t>
  </si>
  <si>
    <t>汚損印字帳票（温度指定）</t>
  </si>
  <si>
    <t>冷凍品・『-20℃設定』・納品時刻条件があり品質条件保持が重要。温度・危険物・精密品・車両制約等の重要条件保持を中心に検証する。</t>
  </si>
  <si>
    <t>D089.jpg</t>
  </si>
  <si>
    <t>D090</t>
  </si>
  <si>
    <t>手書きメモ＋付箋＋受付票</t>
  </si>
  <si>
    <t>配車メモ＋補助情報</t>
  </si>
  <si>
    <t>手書き本文に受付票と連絡付箋が重なり、複数情報源を統合する必要がある。本文・写真・地図・付箋・別紙等の複数情報源の統合を中心に検証する。</t>
  </si>
  <si>
    <t>D090.jpg</t>
  </si>
  <si>
    <t>T01〜T13 判定基準（画像基準）</t>
  </si>
  <si>
    <t>※ シート名は既存参照との互換性維持のため「02_T01-T10判定基準」のままです。</t>
  </si>
  <si>
    <t>備考</t>
  </si>
  <si>
    <t>入力・判定ルール</t>
  </si>
  <si>
    <t>項目</t>
  </si>
  <si>
    <t>ルール</t>
  </si>
  <si>
    <t>例</t>
  </si>
  <si>
    <t>注意</t>
  </si>
  <si>
    <t>要確認</t>
  </si>
  <si>
    <t>読めない・曖昧・矛盾・不足は推測せず要確認</t>
  </si>
  <si>
    <t>電話番号の一部が潰れている→要確認</t>
  </si>
  <si>
    <t>要確認は失敗ではない</t>
  </si>
  <si>
    <t>誤読</t>
  </si>
  <si>
    <t>明確に読める情報を間違えて抽出した件数</t>
  </si>
  <si>
    <t>9:00を8:00と抽出</t>
  </si>
  <si>
    <t>0件が望ましい</t>
  </si>
  <si>
    <t>本来要確認の内容をAIが推測して確定した件数</t>
  </si>
  <si>
    <t>朝一→8:00</t>
  </si>
  <si>
    <t>0件を合格条件</t>
  </si>
  <si>
    <t>傭車先等へ出してはいけない情報を出力した件数</t>
  </si>
  <si>
    <t>受取運賃を傭車先向けへ表示</t>
  </si>
  <si>
    <t>総作業時間</t>
  </si>
  <si>
    <t>AI操作＋人の確認＋修正</t>
  </si>
  <si>
    <t>2.0+3.0+1.0=6.0分</t>
  </si>
  <si>
    <t>待ち時間・電話中断は別管理が望ましい</t>
  </si>
  <si>
    <t>当初は未分類で記録し、件数蓄積後に分類</t>
  </si>
  <si>
    <t>流用有無、新規入力項目数、実測時間で分類</t>
  </si>
  <si>
    <t>先に主観で固定しない</t>
  </si>
  <si>
    <t>T01〜T10判定基準に従う</t>
  </si>
  <si>
    <t>T02で推測0件かつ不明を要確認→合格</t>
  </si>
  <si>
    <t>安全項目は1件でもNGあり</t>
  </si>
  <si>
    <t>依頼を受け、処理を開始する直前の時刻</t>
  </si>
  <si>
    <t>2026/10/02 15:30:01</t>
  </si>
  <si>
    <t>取得できない場合は推測せず『時刻取得不可』</t>
  </si>
  <si>
    <t>画像読込開始／完了時刻</t>
  </si>
  <si>
    <t>画像読込開始直前と、読込・抽出・要確認判定が完了した時刻</t>
  </si>
  <si>
    <t>開始 15:30:03／完了 15:30:12</t>
  </si>
  <si>
    <t>JSTで記録。内部時刻が取得不能なら推測しない</t>
  </si>
  <si>
    <t>画像読込開始時刻から画像読込完了時刻までの差</t>
  </si>
  <si>
    <t>9</t>
  </si>
  <si>
    <t>秒単位。開始・完了のどちらかが取得不能なら空欄</t>
  </si>
  <si>
    <t>01_指示書読込プロンプトの回答・判定まで含めた処理が完了する直前の時刻</t>
  </si>
  <si>
    <t>2026/10/02 15:30:15</t>
  </si>
  <si>
    <t>画像読込完了時刻やPDF出力完了時刻とは分けて記録</t>
  </si>
  <si>
    <t>読込結果の『記載なしの情報』に分類された項目数</t>
  </si>
  <si>
    <t>8</t>
  </si>
  <si>
    <t>項目名だけ数え、内容をこの一覧へ転記しない</t>
  </si>
  <si>
    <t>読込結果の『矛盾している情報』に分類された項目数</t>
  </si>
  <si>
    <t>0</t>
  </si>
  <si>
    <t>矛盾内容そのものは必要に応じ反映メモへ匿名で記載</t>
  </si>
  <si>
    <t>AIが推測せず、人の確認へ戻した項目数</t>
  </si>
  <si>
    <t>1</t>
  </si>
  <si>
    <t>『要確認項目数』と意味が重なる場合も、読込出力の値をそのまま記録</t>
  </si>
  <si>
    <t>読込結果をテスト結果一覧へ転記した状態</t>
  </si>
  <si>
    <t>未反映／一部反映／反映済／要確認</t>
  </si>
  <si>
    <t>手作業・AI反映どちらでも同じ区分を使用</t>
  </si>
  <si>
    <t>人の判定が必要な項目</t>
  </si>
  <si>
    <t>誤読、勝手に確定、順序誤り、禁止情報誤出力、合否など</t>
  </si>
  <si>
    <t>読込結果のみでは空欄</t>
  </si>
  <si>
    <t>AI自身の読込結果だけから0件・合格と決めない</t>
  </si>
  <si>
    <t>読込結果をExcelテンプレートへ反映するため、最初のセルへの書き込み・変更を開始する直前の時刻</t>
  </si>
  <si>
    <t>2026/10/02 15:31:00</t>
  </si>
  <si>
    <t>テンプレート確認のみの時間は含めない。JSTで記録し、推測しない</t>
  </si>
  <si>
    <t>Excelへの入力・確認・保存後、PDF生成が完了し、出力ファイルの存在を確認した時刻</t>
  </si>
  <si>
    <t>2026/10/02 15:31:42</t>
  </si>
  <si>
    <t>Excel保存時刻ではなくPDF生成完了時刻を使用</t>
  </si>
  <si>
    <t>Excel書込開始時刻からPDF出力完了時刻までの差</t>
  </si>
  <si>
    <t>42</t>
  </si>
  <si>
    <t>開始・完了のどちらかが取得不能なら空欄。画像読込時間を代用しない</t>
  </si>
  <si>
    <t>事前情報</t>
  </si>
  <si>
    <t>試験ID（D列）</t>
  </si>
  <si>
    <t>D001〜D090対応表から事前設定</t>
  </si>
  <si>
    <t>検証実施時の結果ではなく、テスト計画上の試験ID。原則変更しない。</t>
  </si>
  <si>
    <t>原本種別（E列）</t>
  </si>
  <si>
    <t>対応表の媒体／表現を事前設定</t>
  </si>
  <si>
    <t>一般印字、FAX、全手書き、メール等。</t>
  </si>
  <si>
    <t>参照情報</t>
  </si>
  <si>
    <t>AN〜AV列</t>
  </si>
  <si>
    <t>ケース別の判定ガイド</t>
  </si>
  <si>
    <t>対象・帳票形式・確認内容・合格条件・検証ポイント等。結果入力欄ではない。</t>
  </si>
  <si>
    <t>判定</t>
  </si>
  <si>
    <t>判定者（W列）</t>
  </si>
  <si>
    <t>実際に判定した人を入力</t>
  </si>
  <si>
    <t>AS列の推奨判定者は役割の目安。W列には実際の判定者を記録する。</t>
  </si>
  <si>
    <t>結果入力</t>
  </si>
  <si>
    <t>Y列 合否</t>
  </si>
  <si>
    <t>検証完了後に入力</t>
  </si>
  <si>
    <t>AQ列の合格条件と実測・比較結果を確認して判定。未確認の安全項目がある場合は合格にしない。</t>
  </si>
  <si>
    <t>媒体／表現</t>
  </si>
  <si>
    <t>ケース数</t>
  </si>
  <si>
    <t>集計</t>
  </si>
  <si>
    <t>値</t>
  </si>
  <si>
    <t>D001、D010、D011、D021、D032、D036、D043、D047、D050、D061、D072、D073、D078、D081、D085、D087</t>
  </si>
  <si>
    <t>総ケース数</t>
  </si>
  <si>
    <t>D002、D006、D012、D037、D049、D053、D062、D079</t>
  </si>
  <si>
    <t>試験ID数</t>
  </si>
  <si>
    <t>D003、D035、D039、D040、D042、D048、D054、D056、D063、D067、D071、D077、D080、D082</t>
  </si>
  <si>
    <t>変更ケース数</t>
  </si>
  <si>
    <t>D014、D016、D024、D034、D059、D074、D076</t>
  </si>
  <si>
    <t>維持ケース数</t>
  </si>
  <si>
    <t>D007、D015、D025、D070</t>
  </si>
  <si>
    <t>分類基準</t>
  </si>
  <si>
    <t>画像の実態を優先</t>
  </si>
  <si>
    <t>D008、D019、D026、D031、D033、D044、D052、D086、D088</t>
  </si>
  <si>
    <t>D004、D005、D009、D017、D018、D023、D027、D057、D069</t>
  </si>
  <si>
    <t>D028、D046、D083</t>
  </si>
  <si>
    <t>D013、D022、D029</t>
  </si>
  <si>
    <t>D041、D045、D051、D060、D065、D084</t>
  </si>
  <si>
    <t>D055、D064、D066、D068、D075、D089</t>
  </si>
  <si>
    <t>D020、D038、D058、D090</t>
  </si>
  <si>
    <t>配車指示書PoC 一括実行セット</t>
  </si>
  <si>
    <t>目的</t>
  </si>
  <si>
    <t>添付回数を減らし、原本読込 → 指示書作成 → PDF出力 → テスト結果記録までを1回の指示で実行するためのマスターブックです。</t>
  </si>
  <si>
    <t>毎回必要なもの</t>
  </si>
  <si>
    <t>①このExcel ②対象のテスト画像1枚（D001.jpg等）。同じチャット内に全90件ZIPを一度添付済みなら、その後はケースID指定だけで進められます。</t>
  </si>
  <si>
    <t>ユーザーの指示例</t>
  </si>
  <si>
    <t>D001を一括テストしてください</t>
  </si>
  <si>
    <t>AIが参照するシート</t>
  </si>
  <si>
    <t>Sheet1＝配車指示書テンプレート／00_PoC一括実行＝実行ルール／01_テスト結果一覧＝記録先／02_T01-T10判定基準＝画像基準で再設計したT01〜T13合否基準／05_ケース別テスト対応＝画像実態に基づくケース設定／07_画像基準再分類_変更一覧＝旧→新の対応表</t>
  </si>
  <si>
    <t>重要</t>
  </si>
  <si>
    <t>Sheet1は原本テンプレートとして保持し、直接上書きしない。生成する指示書は別ファイルとして出力する。</t>
  </si>
  <si>
    <t>結果一覧</t>
  </si>
  <si>
    <t>ケースIDが一致する行だけ更新する。D/Eおよび判定基準列は、画像実態に基づき再分類済みの05_ケース別テスト対応を参照する。未測定は0にしない。人が判断すべき項目は空欄または要確認のまま残す。</t>
  </si>
  <si>
    <t>禁止情報</t>
  </si>
  <si>
    <t>荷主ヘッダー・荷主住所・荷主FAX・荷主側担当者・運賃・売上・仕入・支払・単価等は、傭車先向け配車指示書へ転記しない。</t>
  </si>
  <si>
    <t>おすすめ運用</t>
  </si>
  <si>
    <t>最初にこのExcelとD001-D090画像ZIPを1回だけ添付し、以後は『D001を一括テスト』『次はD002』のようにケースIDだけ指定する。</t>
  </si>
  <si>
    <t>00_PoC一括実行プロンプト</t>
  </si>
  <si>
    <t>【目的】</t>
  </si>
  <si>
    <t>対象ケース1件について、原本画像の読込、構造化、配車指示書Excel/PDF生成、原本との比較評価、テスト結果一覧への記録を連続して実行してください。</t>
  </si>
  <si>
    <t>【入力】</t>
  </si>
  <si>
    <t>- このExcelブック</t>
  </si>
  <si>
    <t>- 対象ケース画像（D001.jpg等）。同じチャット内にD001-D090画像ZIPが既にある場合は、指定ケースIDの画像をZIPから使用してよい。</t>
  </si>
  <si>
    <t>- ユーザーが指定したケースID</t>
  </si>
  <si>
    <t>【最初に行うこと】</t>
  </si>
  <si>
    <t>1. ケースIDを確認する。</t>
  </si>
  <si>
    <t>2. 「05_ケース別テスト対応」で同じケースIDの行を確認し、画像実態に基づき再分類済みの試験ID、対象、媒体／表現、帳票／形式、主な確認内容、合格条件、このケースの検証ポイントを取得する。</t>
  </si>
  <si>
    <t>3. ケースIDが見つからない場合は処理を止め、『対象ケースなし』と報告する。</t>
  </si>
  <si>
    <t>4. 他ケースの情報を混ぜない。過去ケースの値を今回へ流用しない。</t>
  </si>
  <si>
    <t>＝＝＝＝ STEP1：原本画像の読込・構造化 ＝＝＝＝</t>
  </si>
  <si>
    <t>画像に書かれている情報だけを使用し、以下を抽出する。</t>
  </si>
  <si>
    <t>読みにくい、潰れ、手書きで判読不能、判断に迷う、矛盾する場合は推測せず『要確認』。</t>
  </si>
  <si>
    <t>記載されていない情報は『記載なし』。過去案件や一般知識から補完しない。</t>
  </si>
  <si>
    <t>複数積地・卸地は原本の順番を保持する。</t>
  </si>
  <si>
    <t>『朝一』『午後一』『午前中』『○時頃』『○時まで』『○時以降』などは原文条件を保持し、具体的な時刻へ勝手に変換しない。</t>
  </si>
  <si>
    <t>【固定抽出項目】</t>
  </si>
  <si>
    <t>1. 荷主会社名</t>
  </si>
  <si>
    <t>2. 荷主住所</t>
  </si>
  <si>
    <t>3. 荷主FAX番号</t>
  </si>
  <si>
    <t>4. 積日</t>
  </si>
  <si>
    <t>5. 積時間</t>
  </si>
  <si>
    <t>6. 積地住所</t>
  </si>
  <si>
    <t>7. 積地建物名称</t>
  </si>
  <si>
    <t>8. 積地担当者</t>
  </si>
  <si>
    <t>9. 積地電話番号</t>
  </si>
  <si>
    <t>10. 卸日</t>
  </si>
  <si>
    <t>11. 卸時間</t>
  </si>
  <si>
    <t>12. 卸地住所</t>
  </si>
  <si>
    <t>13. 卸地建物名称</t>
  </si>
  <si>
    <t>14. 卸地担当者</t>
  </si>
  <si>
    <t>15. 卸地電話番号</t>
  </si>
  <si>
    <t>16. 運賃</t>
  </si>
  <si>
    <t>17. 荷物内容</t>
  </si>
  <si>
    <t>18. 荷物の詳細</t>
  </si>
  <si>
    <t>19. 装備品</t>
  </si>
  <si>
    <t>20. 注意事項</t>
  </si>
  <si>
    <t>21. 積地・卸地の順番</t>
  </si>
  <si>
    <t>【STEP1 判定集計】</t>
  </si>
  <si>
    <t>- そのまま使用できる情報</t>
  </si>
  <si>
    <t>- 要確認の情報</t>
  </si>
  <si>
    <t>- 記載なしの情報</t>
  </si>
  <si>
    <t>- 矛盾している情報</t>
  </si>
  <si>
    <t>- AIが判断せず人に確認を戻した項目数</t>
  </si>
  <si>
    <t>- 明確に読み取れた項目数</t>
  </si>
  <si>
    <t>【STEP1 処理時間】</t>
  </si>
  <si>
    <t>可能な場合のみ、処理開始時刻、画像読込開始時刻、画像読込完了時刻、画像読込所要時間(秒)、処理完了時刻を実測して記録する。</t>
  </si>
  <si>
    <t>日本時間（JST）YYYY/MM/DD HH:MM:SS。正確な時刻を取得できない場合は『時刻取得不可』とし、推測しない。</t>
  </si>
  <si>
    <t>＝＝＝＝ STEP2：配車指示書の生成 ＝＝＝＝</t>
  </si>
  <si>
    <t>このブックの「Sheet1」を配車指示書テンプレートとして使用する。ただしSheet1自体は原本テンプレートとして保持し、直接上書きしない。</t>
  </si>
  <si>
    <t>STEP1で『そのまま使用できる情報』と判定した値だけを入力対象にする。要確認、記載なし、矛盾は確定入力しない。</t>
  </si>
  <si>
    <t>テンプレートの罫線、セル結合、列幅、行高、色、フォント、数式、印刷設定、ページ設定、レイアウトを可能な限り維持する。</t>
  </si>
  <si>
    <t>入力先が複数考えられる、意味が明確に一致しない、欄が足りない場合は勝手に配置・省略せず要確認。</t>
  </si>
  <si>
    <t>【配車指示書への入力禁止情報】</t>
  </si>
  <si>
    <t>以下は原本やSTEP1結果に存在しても、傭車先・運送会社向け指示書へ絶対に転記しない。</t>
  </si>
  <si>
    <t>- 荷主会社名、荷主住所、荷主FAX番号、荷主側担当者情報</t>
  </si>
  <si>
    <t>- 運賃、売上、仕入金額、支払金額、単価、その他すべての料金・金額情報</t>
  </si>
  <si>
    <t>※積地・卸地として必要な会社名、施設名、住所、現地担当者、現地電話番号は入力対象。荷主情報と現場情報を混同しない。</t>
  </si>
  <si>
    <t>【主な入力対応】</t>
  </si>
  <si>
    <t>積日→積日/積込日/引取日等の明確な日付欄</t>
  </si>
  <si>
    <t>積時間→積時間/積込時間/引取時間等。条件語を保持</t>
  </si>
  <si>
    <t>積地住所→積地/集荷先/引取先/発地/搬出元等の住所欄</t>
  </si>
  <si>
    <t>積地建物名称→積地名/会社名/施設名等</t>
  </si>
  <si>
    <t>積地担当者・電話→対応する現地担当者/TEL欄</t>
  </si>
  <si>
    <t>卸日→卸日/納品日/届け日等</t>
  </si>
  <si>
    <t>卸時間→卸時間/納品時間/着指定等。条件語を保持</t>
  </si>
  <si>
    <t>卸地住所→卸地/納品先/届け先/着地/搬入先等の住所欄</t>
  </si>
  <si>
    <t>卸地建物名称→卸地名/納品先名/施設名等</t>
  </si>
  <si>
    <t>卸地担当者・電話→対応する現地担当者/TEL欄</t>
  </si>
  <si>
    <t>荷物内容→品名/荷名/商品/積荷/貨物内容等</t>
  </si>
  <si>
    <t>荷物の詳細→数量・荷姿・重量・車種・台数等。専用欄との対応が明確な場合のみ分割</t>
  </si>
  <si>
    <t>装備品→装備/必要装備/車両装備等</t>
  </si>
  <si>
    <t>注意事項→備考/連絡事項/注意事項/特記事項等</t>
  </si>
  <si>
    <t>積地・卸地の順番→複数地点の配置順序に使用。順番を不要なセルへ文字列として転記しない</t>
  </si>
  <si>
    <t>【複数地点】</t>
  </si>
  <si>
    <t>地点の順番、日付、時間、住所、建物名、担当者、電話、荷物の紐付けを崩さない。</t>
  </si>
  <si>
    <t>地点間で情報を移動しない。</t>
  </si>
  <si>
    <t>【過去案件】</t>
  </si>
  <si>
    <t>過去情報は候補扱いのみ。今回原本・今回の口頭情報を優先し、過去担当者、数量、時間、住所等で自動上書きしない。</t>
  </si>
  <si>
    <t>【STEP2 出力】</t>
  </si>
  <si>
    <t>- DXXX_配車指示書.xlsx</t>
  </si>
  <si>
    <t>- DXXX_配車指示書.pdf</t>
  </si>
  <si>
    <t>Excel書込開始時刻、PDF出力完了時刻、Excel書込・PDF出力所要時間(秒)を正確に取得できる場合のみ記録する。推測禁止。</t>
  </si>
  <si>
    <t>＝＝＝＝ STEP3：原本・読込結果・生成指示書の比較評価 ＝＝＝＝</t>
  </si>
  <si>
    <t>原本画像、STEP1読込結果、STEP2生成指示書を比較する。</t>
  </si>
  <si>
    <t>『02_T01-T10判定基準』（内容は画像基準で再設計したT01〜T13）および『05_ケース別テスト対応』の当該ケースの合格条件・検証ポイントに従う。</t>
  </si>
  <si>
    <t>以下を客観的に判定できる場合だけ数える。未確認を0として扱わない。</t>
  </si>
  <si>
    <t>- 誤読件数</t>
  </si>
  <si>
    <t>- 勝手に確定した件数</t>
  </si>
  <si>
    <t>- 積地・卸地順序誤り件数</t>
  </si>
  <si>
    <t>- 禁止情報誤出力件数</t>
  </si>
  <si>
    <t>- テンプレート自動入力の成否</t>
  </si>
  <si>
    <t>＝＝＝＝ STEP4：01_テスト結果一覧へ記録 ＝＝＝＝</t>
  </si>
  <si>
    <t>C列ケースIDが対象ケースIDと一致する行だけ更新する。別ケースを更新しない。新しい行を勝手に作らない。</t>
  </si>
  <si>
    <t>既存値と今回値が異なる場合は勝手に上書きせず、読込結果反映状況を『要確認』として理由を反映メモへ記載する。</t>
  </si>
  <si>
    <t>未測定と0は区別する。未測定は空欄。実際に0件・0分の場合のみ0。</t>
  </si>
  <si>
    <t>【自動反映してよい主な列】</t>
  </si>
  <si>
    <t>D 試験ID：05_ケース別テスト対応の画像基準再分類値を使用</t>
  </si>
  <si>
    <t>E 原本種別：05_ケース別テスト対応の画像基準再分類済み媒体／表現を使用</t>
  </si>
  <si>
    <t>O 明確に読取れた項目数</t>
  </si>
  <si>
    <t>P 要確認項目数</t>
  </si>
  <si>
    <t>Q 誤読件数：原本比較で明確に判定できる場合のみ</t>
  </si>
  <si>
    <t>R 勝手に確定した件数：原本比較で明確に判定できる場合のみ</t>
  </si>
  <si>
    <t>S 積地・卸地順序誤り件数：複数地点を比較できる場合のみ</t>
  </si>
  <si>
    <t>T 禁止情報誤出力件数：生成Excel/PDFを実際に確認した場合のみ</t>
  </si>
  <si>
    <t>U テンプレート自動入力：生成結果を確認して記録</t>
  </si>
  <si>
    <t>Z 確認メモ：匿名化した内容だけ</t>
  </si>
  <si>
    <t>AA 処理開始時刻</t>
  </si>
  <si>
    <t>AB 画像読込開始時刻</t>
  </si>
  <si>
    <t>AC 画像読込完了時刻</t>
  </si>
  <si>
    <t>AD 画像読込所要時間(秒)</t>
  </si>
  <si>
    <t>AE 処理完了時刻</t>
  </si>
  <si>
    <t>AF Excel書込開始時刻</t>
  </si>
  <si>
    <t>AG PDF出力完了時刻</t>
  </si>
  <si>
    <t>AH Excel書込・PDF出力所要時間(秒)</t>
  </si>
  <si>
    <t>AI 記載なし項目数</t>
  </si>
  <si>
    <t>AJ 矛盾項目数</t>
  </si>
  <si>
    <t>AK AIが人に確認を戻した項目数</t>
  </si>
  <si>
    <t>AL 読込結果反映状況：未反映/一部反映/反映済/要確認</t>
  </si>
  <si>
    <t>AM 読込結果反映メモ</t>
  </si>
  <si>
    <t>【AIだけで勝手に確定しない列】</t>
  </si>
  <si>
    <t>L 人の確認時間、M 修正時間、V 修正内容、W 判定者、X 配車担当確認、Y 最終合否。</t>
  </si>
  <si>
    <t>これらは人の実測・確認が提供された場合のみ入力する。</t>
  </si>
  <si>
    <t>ただし、原本・出力物・当該試験基準をすべて比較でき、ユーザー運用上AI判定を許可している場合でも、安全項目が未確認なら最終合格にしない。</t>
  </si>
  <si>
    <t>【テスト結果一覧へ記載しない具体情報】</t>
  </si>
  <si>
    <t>具体的な荷主会社名、積地・卸地会社名、詳細住所、電話/FAX、運賃・金額、実商品名など案件を特定できる内容は記載しない。件数・時間・判定・匿名化メモだけを記録する。</t>
  </si>
  <si>
    <t>＝＝＝＝ 最終チェック ＝＝＝＝</t>
  </si>
  <si>
    <t>1. 要確認情報を確定入力していないか</t>
  </si>
  <si>
    <t>2. 記載なしを補完していないか</t>
  </si>
  <si>
    <t>3. 条件語を削除・具体化していないか</t>
  </si>
  <si>
    <t>4. 複数地点の順番・日時紐付けが保持されているか</t>
  </si>
  <si>
    <t>5. 荷主情報・金額情報が配車指示書へ出ていないか</t>
  </si>
  <si>
    <t>6. 過去案件情報で今回情報を上書きしていないか</t>
  </si>
  <si>
    <t>7. テスト結果一覧の対象ケース行以外を変更していないか</t>
  </si>
  <si>
    <t>8. 未測定を0にしていないか</t>
  </si>
  <si>
    <t>【処理後にユーザーへ報告】</t>
  </si>
  <si>
    <t>- 対象ケースID／試験ID</t>
  </si>
  <si>
    <t>- 読込結果の要確認項目数</t>
  </si>
  <si>
    <t>- 配車指示書生成：成功／要確認</t>
  </si>
  <si>
    <t>- 禁止情報誤出力：0件／要確認</t>
  </si>
  <si>
    <t>- テスト結果一覧更新：成功／要確認</t>
  </si>
  <si>
    <t>- 人の確認が必要な項目</t>
  </si>
  <si>
    <t>- 作成したファイルへのリンク</t>
  </si>
  <si>
    <t>旧試験ID</t>
  </si>
  <si>
    <t>旧原本種別</t>
  </si>
  <si>
    <t>新試験ID</t>
  </si>
  <si>
    <t>新対象</t>
  </si>
  <si>
    <t>新原本種別</t>
  </si>
  <si>
    <t>変更理由／画像上の根拠</t>
  </si>
  <si>
    <t>新主な確認内容</t>
  </si>
  <si>
    <t>新合格条件</t>
  </si>
  <si>
    <t>変更判定</t>
  </si>
  <si>
    <t>一般印字</t>
  </si>
  <si>
    <t>表形式で明瞭な標準帳票</t>
  </si>
  <si>
    <t>黒つぶれ・かすれ・走査ノイズが目立つFAX</t>
  </si>
  <si>
    <t>全手書き</t>
  </si>
  <si>
    <t>紙面全体が手書きで、吹き出し状の追記もある</t>
  </si>
  <si>
    <t>メール</t>
  </si>
  <si>
    <t>メール本文に手書きの時刻・連絡注意等が追加されている</t>
  </si>
  <si>
    <t>複数地点帳票</t>
  </si>
  <si>
    <t>積込時刻・数量などに手書き訂正が入っている</t>
  </si>
  <si>
    <t>FAX＋手書き追記</t>
  </si>
  <si>
    <t>FAXノイズが強く、手書き記入欄も混在している</t>
  </si>
  <si>
    <t>印字＋付箋・追記</t>
  </si>
  <si>
    <t>積込2地点・荷卸2地点が順序付きで記載されている</t>
  </si>
  <si>
    <t>手書き＋未確定</t>
  </si>
  <si>
    <t>『午前9時頃』『午前中』『午後2時まで』等の幅を持つ時刻表現がある</t>
  </si>
  <si>
    <t>FAX帳票</t>
  </si>
  <si>
    <t>多数の赤字・青字追記、地図、時刻修正が混在している</t>
  </si>
  <si>
    <t>今回/前回比較</t>
  </si>
  <si>
    <t>明瞭な単一積地・単一納品先の標準帳票</t>
  </si>
  <si>
    <t>明瞭な表形式の標準印字帳票</t>
  </si>
  <si>
    <t>罫線・文字のかすれとFAXノイズがある</t>
  </si>
  <si>
    <t>手書き原本に運賃金額・税別表記が明記されている</t>
  </si>
  <si>
    <t>メール本文が主体で、右余白に簡単な手書き追記がある</t>
  </si>
  <si>
    <t>複数地点表</t>
  </si>
  <si>
    <t>積込①②・卸地①②の4地点ルートが表で明示されている</t>
  </si>
  <si>
    <t>印字帳票</t>
  </si>
  <si>
    <t>定型表ではなく文章・箇条書きで条件が記載されている</t>
  </si>
  <si>
    <t>印字＋追記</t>
  </si>
  <si>
    <t>FAX原本に赤字で時刻・車種・条件の修正が多数入っている</t>
  </si>
  <si>
    <t>複数地点の表に時刻・数量・重量・日付の訂正が重ね書きされている</t>
  </si>
  <si>
    <t>見積兼手配書</t>
  </si>
  <si>
    <t>『AM中』『午前中着希望』『9時でもOK』など曖昧な時間条件がある</t>
  </si>
  <si>
    <t>比較票</t>
  </si>
  <si>
    <t>本文に荷姿写真、付箋、手書きルート図、追記メモが同一紙面で併記されている</t>
  </si>
  <si>
    <t>明瞭な表形式で標準項目が揃っている</t>
  </si>
  <si>
    <t>FAX原本に運賃『¥88,000』が明示されている</t>
  </si>
  <si>
    <t>手書きの数量が取消線で訂正され、AM着等の追記もある</t>
  </si>
  <si>
    <t>自由文FAX</t>
  </si>
  <si>
    <t>長文メール本文から条件を抽出する非定型原本</t>
  </si>
  <si>
    <t>積込①②・卸①②が日付時刻付きで明示されている</t>
  </si>
  <si>
    <t>条件付き帳票</t>
  </si>
  <si>
    <t>時刻選択欄に手書きで『午前中』等の条件指定がある</t>
  </si>
  <si>
    <t>矛盾追記付き</t>
  </si>
  <si>
    <t>印字の『15時以降でも可』と付箋の『朝一希望』が併記され優先確認が必要</t>
  </si>
  <si>
    <t>未確定メモ</t>
  </si>
  <si>
    <t>重量『未定』、後日連絡、時刻変更など未確定情報が残っている</t>
  </si>
  <si>
    <t>禁止情報混在帳票</t>
  </si>
  <si>
    <t>受注運賃『¥135,000』と支払条件が帳票内に明記されている</t>
  </si>
  <si>
    <t>過去比較票</t>
  </si>
  <si>
    <t>今回依頼の下に前回実績が別枠で併記されている</t>
  </si>
  <si>
    <t>『5/12 PM』『14時までに着』という幅・期限表現がある</t>
  </si>
  <si>
    <t>FAX形式だが文字・表は鮮明で標準項目抽出が中心</t>
  </si>
  <si>
    <t>手書き原本に納品『午前中』指定がある</t>
  </si>
  <si>
    <t>メール本文の箇条書きから運送条件を整理する形式</t>
  </si>
  <si>
    <t>手書き本文に連絡先付箋が追加されたメモ主体の原本</t>
  </si>
  <si>
    <t>小型だが明瞭な表形式の印字帳票</t>
  </si>
  <si>
    <t>黒つぶれ・ノイズ・低コントラストが強いFAX</t>
  </si>
  <si>
    <t>メッセージ本文と地図位置情報が同一画像に含まれる複合資料</t>
  </si>
  <si>
    <t>手書きの項目列挙と注意書きから構造化する原本</t>
  </si>
  <si>
    <t>積地→卸地の矢印と荷物条件を手書きで示したメモ</t>
  </si>
  <si>
    <t>紙面に強いしわ・破れ・汚れがある印字帳票</t>
  </si>
  <si>
    <t>積地・卸地・荷物・車種を簡潔に手書きしたメモ</t>
  </si>
  <si>
    <t>FAX形式だが判読性が高い小型定型帳票</t>
  </si>
  <si>
    <t>社内チャット印刷</t>
  </si>
  <si>
    <t>メール本文に希望日『AM指定』があり具体時刻へ変換してはいけない</t>
  </si>
  <si>
    <t>大きなシミ・汚れで一部背景が劣化した印字帳票</t>
  </si>
  <si>
    <t>地図と車両制約のみで、配車の主要項目が揃わない補助資料</t>
  </si>
  <si>
    <t>明瞭な小型表形式で基本情報が揃っている</t>
  </si>
  <si>
    <t>付箋1枚に積卸・荷物・車種・連絡先を手書きした原本</t>
  </si>
  <si>
    <t>黒つぶれと走査ノイズが非常に強いFAX</t>
  </si>
  <si>
    <t>明瞭な印字表で基本項目を抽出する原本</t>
  </si>
  <si>
    <t>紙面全体にしわ・折れがあるが印字項目が残る</t>
  </si>
  <si>
    <t>『午前中積込』『16時まで』という時間幅・期限条件がある</t>
  </si>
  <si>
    <t>低コントラスト・黒点・縁ノイズがあるFAX</t>
  </si>
  <si>
    <t>手書きで時刻・積卸・荷物・車両条件を列挙している</t>
  </si>
  <si>
    <t>冷凍品・温度『-20℃』等の品質条件が明記されている</t>
  </si>
  <si>
    <t>手書きで積卸・荷物・車種・注意事項を記載している</t>
  </si>
  <si>
    <t>印字情報に赤字で『17時必着』等の追加条件が追記されている</t>
  </si>
  <si>
    <t>付箋本文と手書きの簡易位置図を合わせて読む必要がある</t>
  </si>
  <si>
    <t>メール形式の本文内に簡易表で運送条件が記載されている</t>
  </si>
  <si>
    <t>掲示・保管されたような汚れや端部劣化がある印字表</t>
  </si>
  <si>
    <t>明瞭な表形式の標準依頼票</t>
  </si>
  <si>
    <t>FAXノイズと部分的な文字つぶれがある</t>
  </si>
  <si>
    <t>ノート紙に積卸・荷物・車両条件を手書きした原本</t>
  </si>
  <si>
    <t>冷凍食品、4t冷凍車、温度『-18℃設定』が明記されている</t>
  </si>
  <si>
    <t>大きな水濡れ・シミがある手書き記入帳票</t>
  </si>
  <si>
    <t>精密機器、横倒厳禁・取扱注意、箱車指定等の重要条件がある</t>
  </si>
  <si>
    <t>手書き本文に『至急対応』付箋が付いた原本</t>
  </si>
  <si>
    <t>『危険物』表示、消防法該当、ドラム缶等の安全条件がある</t>
  </si>
  <si>
    <t>積地・車種・日付時刻などに取消線と赤字変更がある</t>
  </si>
  <si>
    <t>2件の積卸・品名・数量・時刻を同一車両で扱う一覧</t>
  </si>
  <si>
    <t>手書きで積込・納品・品目・重量を記した至急メモ</t>
  </si>
  <si>
    <t>明瞭な単一案件の表形式帳票</t>
  </si>
  <si>
    <t>FAX形式だが文字が鮮明で基本項目の抽出が中心</t>
  </si>
  <si>
    <t>メール本文から積卸・品名・数量・車種・注意事項を整理する</t>
  </si>
  <si>
    <t>ドラム缶、緊急表示、危険物該当有無など取扱条件の保持が重要</t>
  </si>
  <si>
    <t>表ではなく文章・番号付き項目で運送条件を記載している</t>
  </si>
  <si>
    <t>手書きで積卸時刻・地点・数量・車種条件を記載している</t>
  </si>
  <si>
    <t>明瞭な表形式で単一案件の基本情報が揃う</t>
  </si>
  <si>
    <t>FAXノイズ・汚れ・低コントラストがある</t>
  </si>
  <si>
    <t>付箋に積卸時刻・荷物・数量・重量・注意事項を手書きしている</t>
  </si>
  <si>
    <t>明瞭な基本項目の表形式帳票</t>
  </si>
  <si>
    <t>手書きでAM積込、卸時刻、品名・数量・車種を記載</t>
  </si>
  <si>
    <t>TEL/FAX欄が黒塗りで一部情報が意図的に欠落している</t>
  </si>
  <si>
    <t>紙面に大きなシミ・経年汚れがある</t>
  </si>
  <si>
    <t>FAX形式だが読みやすく標準抽出が中心</t>
  </si>
  <si>
    <t>『午前中必着』という幅を持つ納品条件と積込時刻が併記されている</t>
  </si>
  <si>
    <t>明瞭な表形式で基本情報と至急表示がある</t>
  </si>
  <si>
    <t>日付に『AM』指定があり具体時刻を推測してはいけない</t>
  </si>
  <si>
    <t>冷凍品・『-20℃設定』・納品時刻条件があり品質条件保持が重要</t>
  </si>
  <si>
    <t>手書き本文に受付票と連絡付箋が重なり、複数情報源を統合する必要がある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</si>
</sst>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</font>
    <font>
      <sz val="20"/>
      <color rgb="FF000000"/>
      <name val="Meiryo UI"/>
      <family val="3"/>
      <charset val="128"/>
    </font>
    <font>
      <sz val="11"/>
      <color rgb="FF000000"/>
      <name val="Meiryo UI"/>
      <family val="3"/>
      <charset val="128"/>
    </font>
    <font>
      <sz val="22"/>
      <color rgb="FF000000"/>
      <name val="Meiryo UI"/>
      <family val="3"/>
      <charset val="128"/>
    </font>
    <font>
      <sz val="14"/>
      <color rgb="FF000000"/>
      <name val="Meiryo UI"/>
      <family val="3"/>
      <charset val="128"/>
    </font>
    <font>
      <sz val="16"/>
      <color rgb="FF000000"/>
      <name val="Meiryo UI"/>
      <family val="3"/>
      <charset val="128"/>
    </font>
    <font>
      <b/>
      <sz val="14"/>
      <color rgb="FF000000"/>
      <name val="Meiryo UI"/>
      <family val="3"/>
      <charset val="128"/>
    </font>
    <font>
      <b/>
      <sz val="16"/>
      <color rgb="FF000000"/>
      <name val="Meiryo UI"/>
      <family val="3"/>
      <charset val="128"/>
    </font>
    <font>
      <sz val="12"/>
      <color rgb="FF000000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24"/>
      <color rgb="FF000000"/>
      <name val="Meiryo UI"/>
      <family val="3"/>
      <charset val="128"/>
    </font>
    <font>
      <sz val="10"/>
      <color rgb="FF000000"/>
      <name val="Meiryo UI"/>
      <family val="3"/>
      <charset val="128"/>
    </font>
    <font>
      <b/>
      <sz val="11"/>
      <color rgb="FF000000"/>
      <name val="Meiryo UI"/>
      <family val="3"/>
      <charset val="128"/>
    </font>
    <font>
      <sz val="18"/>
      <color rgb="FF000000"/>
      <name val="Meiryo UI"/>
      <family val="3"/>
      <charset val="128"/>
    </font>
    <font>
      <b/>
      <sz val="16"/>
      <color rgb="FFFFFFFF"/>
      <name val="游ゴシック"/>
      <family val="3"/>
      <charset val="128"/>
    </font>
    <font>
      <b/>
      <sz val="11"/>
      <color rgb="FFFFFFFF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b/>
      <sz val="11"/>
      <color rgb="FF1F1F1F"/>
      <name val="游ゴシック"/>
      <family val="3"/>
      <charset val="128"/>
    </font>
    <font>
      <b/>
      <sz val="14"/>
      <color rgb="FFFFFFFF"/>
      <name val="游ゴシック"/>
      <family val="3"/>
      <charset val="128"/>
    </font>
    <font>
      <i/>
      <sz val="11"/>
      <color rgb="FF44546A"/>
      <name val="游ゴシック"/>
      <family val="3"/>
      <charset val="128"/>
    </font>
    <font>
      <sz val="6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20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9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15" xfId="0" applyFont="1" applyBorder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6" fillId="0" borderId="8" xfId="0" applyFont="1" applyBorder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0" borderId="18" xfId="0" applyFont="1" applyBorder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right" vertical="center"/>
    </xf>
    <xf numFmtId="0" fontId="9" fillId="0" borderId="13" xfId="0" applyFont="1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14" fillId="2" borderId="0" xfId="0" applyFont="1" applyFill="1" applyAlignment="1">
      <alignment vertical="top" wrapText="1"/>
    </xf>
    <xf numFmtId="0" fontId="15" fillId="3" borderId="0" xfId="0" applyFont="1" applyFill="1" applyAlignment="1">
      <alignment horizontal="center" vertical="top" wrapText="1"/>
    </xf>
    <xf numFmtId="0" fontId="15" fillId="4" borderId="0" xfId="0" applyFont="1" applyFill="1" applyAlignment="1">
      <alignment horizontal="center" vertical="top" wrapText="1"/>
    </xf>
    <xf numFmtId="0" fontId="16" fillId="5" borderId="0" xfId="0" applyFont="1" applyFill="1" applyAlignment="1">
      <alignment vertical="top" wrapText="1"/>
    </xf>
    <xf numFmtId="0" fontId="17" fillId="5" borderId="0" xfId="0" applyFont="1" applyFill="1" applyAlignment="1">
      <alignment vertical="top" wrapText="1"/>
    </xf>
    <xf numFmtId="0" fontId="15" fillId="6" borderId="0" xfId="0" applyFont="1" applyFill="1" applyAlignment="1">
      <alignment vertical="top" wrapText="1"/>
    </xf>
    <xf numFmtId="0" fontId="15" fillId="6" borderId="0" xfId="0" applyFont="1" applyFill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5" fillId="0" borderId="9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0" fontId="1" fillId="0" borderId="16" xfId="0" applyNumberFormat="1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0" fontId="4" fillId="0" borderId="16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10" fillId="0" borderId="9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9" xfId="0" applyFont="1" applyBorder="1" applyAlignment="1">
      <alignment horizontal="right" vertical="center"/>
    </xf>
    <xf numFmtId="0" fontId="9" fillId="0" borderId="16" xfId="0" applyFont="1" applyBorder="1" applyAlignment="1">
      <alignment horizontal="right" vertical="center"/>
    </xf>
    <xf numFmtId="0" fontId="9" fillId="0" borderId="8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3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8" fillId="6" borderId="0" xfId="0" applyFont="1" applyFill="1" applyAlignment="1">
      <alignment horizontal="center" vertical="center" wrapText="1"/>
    </xf>
    <xf numFmtId="0" fontId="19" fillId="7" borderId="0" xfId="0" applyFont="1" applyFill="1" applyAlignment="1">
      <alignment horizontal="left" vertical="top" wrapText="1"/>
    </xf>
    <xf numFmtId="0" fontId="14" fillId="2" borderId="0" xfId="0" applyFont="1" applyFill="1" applyAlignment="1">
      <alignment horizontal="left" vertical="top" wrapText="1"/>
    </xf>
  </cellXfs>
  <cellStyles count="1">
    <cellStyle name="標準" xfId="0" builtinId="0"/>
  </cellStyles>
  <dxfs count="2">
    <dxf>
      <fill>
        <patternFill patternType="solid">
          <bgColor rgb="FFE2F0D9"/>
        </patternFill>
      </fill>
    </dxf>
    <dxf>
      <font>
        <b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workbookViewId="0">
      <selection sqref="A1:K1"/>
    </sheetView>
  </sheetViews>
  <sheetFormatPr defaultRowHeight="18" x14ac:dyDescent="0.55000000000000004"/>
  <cols>
    <col min="9" max="11" width="9.5" customWidth="1"/>
  </cols>
  <sheetData>
    <row r="1" spans="1:11" ht="26.5" x14ac:dyDescent="0.55000000000000004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30" x14ac:dyDescent="0.65">
      <c r="A2" s="1"/>
      <c r="B2" s="2"/>
      <c r="C2" s="2"/>
      <c r="D2" s="2"/>
      <c r="E2" s="1"/>
      <c r="F2" s="1"/>
      <c r="G2" s="1"/>
      <c r="H2" s="1"/>
      <c r="I2" s="3" t="s">
        <v>1</v>
      </c>
      <c r="J2" s="47" t="s">
        <v>2</v>
      </c>
      <c r="K2" s="47"/>
    </row>
    <row r="3" spans="1:11" ht="19.5" x14ac:dyDescent="0.55000000000000004">
      <c r="A3" s="48" t="s">
        <v>3</v>
      </c>
      <c r="B3" s="51" t="s">
        <v>4</v>
      </c>
      <c r="C3" s="53" t="s">
        <v>5</v>
      </c>
      <c r="D3" s="54"/>
      <c r="E3" s="54"/>
      <c r="F3" s="54"/>
      <c r="G3" s="54"/>
      <c r="H3" s="55"/>
      <c r="I3" s="4" t="s">
        <v>6</v>
      </c>
      <c r="J3" s="59" t="s">
        <v>7</v>
      </c>
      <c r="K3" s="60"/>
    </row>
    <row r="4" spans="1:11" ht="19.5" x14ac:dyDescent="0.55000000000000004">
      <c r="A4" s="49"/>
      <c r="B4" s="52"/>
      <c r="C4" s="56"/>
      <c r="D4" s="57"/>
      <c r="E4" s="57"/>
      <c r="F4" s="57"/>
      <c r="G4" s="57"/>
      <c r="H4" s="58"/>
      <c r="I4" s="4" t="s">
        <v>8</v>
      </c>
      <c r="J4" s="59" t="s">
        <v>7</v>
      </c>
      <c r="K4" s="60"/>
    </row>
    <row r="5" spans="1:11" ht="19.5" x14ac:dyDescent="0.55000000000000004">
      <c r="A5" s="49"/>
      <c r="B5" s="51" t="s">
        <v>9</v>
      </c>
      <c r="C5" s="61" t="s">
        <v>5</v>
      </c>
      <c r="D5" s="62"/>
      <c r="E5" s="62"/>
      <c r="F5" s="62"/>
      <c r="G5" s="62"/>
      <c r="H5" s="63"/>
      <c r="I5" s="4" t="s">
        <v>10</v>
      </c>
      <c r="J5" s="59" t="s">
        <v>7</v>
      </c>
      <c r="K5" s="60"/>
    </row>
    <row r="6" spans="1:11" ht="19.5" x14ac:dyDescent="0.55000000000000004">
      <c r="A6" s="50"/>
      <c r="B6" s="52"/>
      <c r="C6" s="64"/>
      <c r="D6" s="65"/>
      <c r="E6" s="65"/>
      <c r="F6" s="65"/>
      <c r="G6" s="65"/>
      <c r="H6" s="66"/>
      <c r="I6" s="4" t="s">
        <v>11</v>
      </c>
      <c r="J6" s="59" t="s">
        <v>7</v>
      </c>
      <c r="K6" s="60"/>
    </row>
    <row r="7" spans="1:11" ht="12.5" customHeight="1" x14ac:dyDescent="0.55000000000000004">
      <c r="A7" s="48" t="s">
        <v>12</v>
      </c>
      <c r="B7" s="51" t="s">
        <v>4</v>
      </c>
      <c r="C7" s="68"/>
      <c r="D7" s="68"/>
      <c r="E7" s="68"/>
      <c r="F7" s="68"/>
      <c r="G7" s="68"/>
      <c r="H7" s="68" t="s">
        <v>13</v>
      </c>
      <c r="I7" s="51" t="s">
        <v>6</v>
      </c>
      <c r="J7" s="68"/>
      <c r="K7" s="68"/>
    </row>
    <row r="8" spans="1:11" ht="12.5" customHeight="1" x14ac:dyDescent="0.55000000000000004">
      <c r="A8" s="49"/>
      <c r="B8" s="67"/>
      <c r="C8" s="68"/>
      <c r="D8" s="68"/>
      <c r="E8" s="68"/>
      <c r="F8" s="68"/>
      <c r="G8" s="68"/>
      <c r="H8" s="68"/>
      <c r="I8" s="67"/>
      <c r="J8" s="68"/>
      <c r="K8" s="68"/>
    </row>
    <row r="9" spans="1:11" ht="12.5" customHeight="1" x14ac:dyDescent="0.55000000000000004">
      <c r="A9" s="50"/>
      <c r="B9" s="52"/>
      <c r="C9" s="68"/>
      <c r="D9" s="68"/>
      <c r="E9" s="68"/>
      <c r="F9" s="68"/>
      <c r="G9" s="68"/>
      <c r="H9" s="68"/>
      <c r="I9" s="52"/>
      <c r="J9" s="68"/>
      <c r="K9" s="68"/>
    </row>
    <row r="10" spans="1:11" x14ac:dyDescent="0.5500000000000000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6.5" x14ac:dyDescent="0.55000000000000004">
      <c r="A11" s="69" t="s">
        <v>14</v>
      </c>
      <c r="B11" s="4" t="s">
        <v>15</v>
      </c>
      <c r="C11" s="72"/>
      <c r="D11" s="73"/>
      <c r="E11" s="73"/>
      <c r="F11" s="74"/>
      <c r="G11" s="59" t="s">
        <v>16</v>
      </c>
      <c r="H11" s="75"/>
      <c r="I11" s="73"/>
      <c r="J11" s="73"/>
      <c r="K11" s="73"/>
    </row>
    <row r="12" spans="1:11" ht="26.5" x14ac:dyDescent="0.55000000000000004">
      <c r="A12" s="70"/>
      <c r="B12" s="4" t="s">
        <v>17</v>
      </c>
      <c r="C12" s="76"/>
      <c r="D12" s="77"/>
      <c r="E12" s="77"/>
      <c r="F12" s="77"/>
      <c r="G12" s="77"/>
      <c r="H12" s="77"/>
      <c r="I12" s="77"/>
      <c r="J12" s="77"/>
      <c r="K12" s="77"/>
    </row>
    <row r="13" spans="1:11" ht="26.5" x14ac:dyDescent="0.55000000000000004">
      <c r="A13" s="70"/>
      <c r="B13" s="4" t="s">
        <v>9</v>
      </c>
      <c r="C13" s="78"/>
      <c r="D13" s="79"/>
      <c r="E13" s="79"/>
      <c r="F13" s="79"/>
      <c r="G13" s="79"/>
      <c r="H13" s="79"/>
      <c r="I13" s="79"/>
      <c r="J13" s="79"/>
      <c r="K13" s="79"/>
    </row>
    <row r="14" spans="1:11" ht="26.5" x14ac:dyDescent="0.55000000000000004">
      <c r="A14" s="70"/>
      <c r="B14" s="4" t="s">
        <v>6</v>
      </c>
      <c r="C14" s="72"/>
      <c r="D14" s="73"/>
      <c r="E14" s="73"/>
      <c r="F14" s="74"/>
      <c r="G14" s="59" t="s">
        <v>18</v>
      </c>
      <c r="H14" s="60"/>
      <c r="I14" s="78"/>
      <c r="J14" s="79"/>
      <c r="K14" s="79"/>
    </row>
    <row r="15" spans="1:11" ht="14" customHeight="1" x14ac:dyDescent="0.55000000000000004">
      <c r="A15" s="71"/>
      <c r="B15" s="4" t="s">
        <v>19</v>
      </c>
      <c r="C15" s="80"/>
      <c r="D15" s="81"/>
      <c r="E15" s="81"/>
      <c r="F15" s="81"/>
      <c r="G15" s="81"/>
      <c r="H15" s="81"/>
      <c r="I15" s="81"/>
      <c r="J15" s="81"/>
      <c r="K15" s="82"/>
    </row>
    <row r="16" spans="1:11" ht="26.5" x14ac:dyDescent="0.55000000000000004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ht="26.5" x14ac:dyDescent="0.55000000000000004">
      <c r="A17" s="83" t="s">
        <v>20</v>
      </c>
      <c r="B17" s="4" t="s">
        <v>15</v>
      </c>
      <c r="C17" s="72"/>
      <c r="D17" s="73"/>
      <c r="E17" s="73"/>
      <c r="F17" s="74"/>
      <c r="G17" s="59" t="s">
        <v>16</v>
      </c>
      <c r="H17" s="75"/>
      <c r="I17" s="86"/>
      <c r="J17" s="86"/>
      <c r="K17" s="86"/>
    </row>
    <row r="18" spans="1:11" ht="26.5" x14ac:dyDescent="0.55000000000000004">
      <c r="A18" s="84"/>
      <c r="B18" s="4" t="s">
        <v>17</v>
      </c>
      <c r="C18" s="76"/>
      <c r="D18" s="77"/>
      <c r="E18" s="77"/>
      <c r="F18" s="77"/>
      <c r="G18" s="77"/>
      <c r="H18" s="77"/>
      <c r="I18" s="77"/>
      <c r="J18" s="77"/>
      <c r="K18" s="87"/>
    </row>
    <row r="19" spans="1:11" ht="26.5" x14ac:dyDescent="0.55000000000000004">
      <c r="A19" s="84"/>
      <c r="B19" s="4" t="s">
        <v>9</v>
      </c>
      <c r="C19" s="76"/>
      <c r="D19" s="77"/>
      <c r="E19" s="77"/>
      <c r="F19" s="77"/>
      <c r="G19" s="77"/>
      <c r="H19" s="77"/>
      <c r="I19" s="77"/>
      <c r="J19" s="77"/>
      <c r="K19" s="87"/>
    </row>
    <row r="20" spans="1:11" ht="26.5" x14ac:dyDescent="0.55000000000000004">
      <c r="A20" s="84"/>
      <c r="B20" s="4" t="s">
        <v>6</v>
      </c>
      <c r="C20" s="72"/>
      <c r="D20" s="73"/>
      <c r="E20" s="73"/>
      <c r="F20" s="74"/>
      <c r="G20" s="59" t="s">
        <v>18</v>
      </c>
      <c r="H20" s="60"/>
      <c r="I20" s="78"/>
      <c r="J20" s="79"/>
      <c r="K20" s="79"/>
    </row>
    <row r="21" spans="1:11" ht="26.5" x14ac:dyDescent="0.55000000000000004">
      <c r="A21" s="85"/>
      <c r="B21" s="7" t="s">
        <v>19</v>
      </c>
      <c r="C21" s="88"/>
      <c r="D21" s="89"/>
      <c r="E21" s="89"/>
      <c r="F21" s="89"/>
      <c r="G21" s="89"/>
      <c r="H21" s="89"/>
      <c r="I21" s="89"/>
      <c r="J21" s="89"/>
      <c r="K21" s="90"/>
    </row>
    <row r="22" spans="1:11" ht="13" customHeight="1" x14ac:dyDescent="0.55000000000000004">
      <c r="A22" s="59" t="s">
        <v>21</v>
      </c>
      <c r="B22" s="60"/>
      <c r="C22" s="105"/>
      <c r="D22" s="106"/>
      <c r="E22" s="106"/>
      <c r="F22" s="106"/>
      <c r="G22" s="106"/>
      <c r="H22" s="106"/>
      <c r="I22" s="106"/>
      <c r="J22" s="106"/>
      <c r="K22" s="107"/>
    </row>
    <row r="23" spans="1:11" ht="13" customHeight="1" x14ac:dyDescent="0.55000000000000004">
      <c r="A23" s="61" t="s">
        <v>21</v>
      </c>
      <c r="B23" s="63"/>
      <c r="C23" s="108"/>
      <c r="D23" s="109"/>
      <c r="E23" s="109"/>
      <c r="F23" s="109"/>
      <c r="G23" s="109"/>
      <c r="H23" s="109"/>
      <c r="I23" s="109"/>
      <c r="J23" s="109"/>
      <c r="K23" s="110"/>
    </row>
    <row r="24" spans="1:11" ht="26" customHeight="1" x14ac:dyDescent="0.55000000000000004">
      <c r="A24" s="64"/>
      <c r="B24" s="66"/>
      <c r="C24" s="111"/>
      <c r="D24" s="112"/>
      <c r="E24" s="112"/>
      <c r="F24" s="112"/>
      <c r="G24" s="112"/>
      <c r="H24" s="112"/>
      <c r="I24" s="112"/>
      <c r="J24" s="112"/>
      <c r="K24" s="113"/>
    </row>
    <row r="25" spans="1:11" ht="22" x14ac:dyDescent="0.55000000000000004">
      <c r="A25" s="8"/>
      <c r="B25" s="9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55000000000000004">
      <c r="A26" s="83" t="s">
        <v>22</v>
      </c>
      <c r="B26" s="91"/>
      <c r="C26" s="92"/>
      <c r="D26" s="83" t="s">
        <v>23</v>
      </c>
      <c r="E26" s="95"/>
      <c r="F26" s="96"/>
      <c r="G26" s="97"/>
      <c r="H26" s="11" t="s">
        <v>23</v>
      </c>
      <c r="I26" s="101" t="s">
        <v>24</v>
      </c>
      <c r="J26" s="102"/>
      <c r="K26" s="102"/>
    </row>
    <row r="27" spans="1:11" x14ac:dyDescent="0.55000000000000004">
      <c r="A27" s="85"/>
      <c r="B27" s="93"/>
      <c r="C27" s="94"/>
      <c r="D27" s="85"/>
      <c r="E27" s="98"/>
      <c r="F27" s="99"/>
      <c r="G27" s="100"/>
      <c r="H27" s="12" t="s">
        <v>25</v>
      </c>
      <c r="I27" s="103"/>
      <c r="J27" s="104"/>
      <c r="K27" s="104"/>
    </row>
    <row r="28" spans="1:11" ht="22" x14ac:dyDescent="0.55000000000000004">
      <c r="A28" s="14"/>
      <c r="B28" s="15"/>
      <c r="C28" s="10"/>
      <c r="D28" s="10"/>
      <c r="E28" s="10"/>
      <c r="F28" s="10"/>
      <c r="G28" s="10"/>
      <c r="H28" s="10"/>
      <c r="I28" s="10"/>
      <c r="J28" s="10"/>
      <c r="K28" s="10"/>
    </row>
    <row r="29" spans="1:11" x14ac:dyDescent="0.55000000000000004">
      <c r="A29" s="114" t="s">
        <v>26</v>
      </c>
      <c r="B29" s="115"/>
      <c r="C29" s="114" t="s">
        <v>27</v>
      </c>
      <c r="D29" s="116"/>
      <c r="E29" s="116" t="s">
        <v>28</v>
      </c>
      <c r="F29" s="116"/>
      <c r="G29" s="116"/>
      <c r="H29" s="116"/>
      <c r="I29" s="116" t="s">
        <v>29</v>
      </c>
      <c r="J29" s="116"/>
      <c r="K29" s="116"/>
    </row>
    <row r="30" spans="1:11" x14ac:dyDescent="0.55000000000000004">
      <c r="A30" s="114" t="s">
        <v>30</v>
      </c>
      <c r="B30" s="115"/>
      <c r="C30" s="114" t="s">
        <v>27</v>
      </c>
      <c r="D30" s="116"/>
      <c r="E30" s="116" t="s">
        <v>28</v>
      </c>
      <c r="F30" s="116"/>
      <c r="G30" s="116"/>
      <c r="H30" s="116"/>
      <c r="I30" s="116" t="s">
        <v>29</v>
      </c>
      <c r="J30" s="116"/>
      <c r="K30" s="116"/>
    </row>
    <row r="31" spans="1:11" ht="32.5" x14ac:dyDescent="0.55000000000000004">
      <c r="A31" s="5"/>
      <c r="B31" s="5"/>
      <c r="C31" s="16"/>
      <c r="D31" s="16"/>
      <c r="E31" s="16"/>
      <c r="F31" s="16"/>
      <c r="G31" s="16"/>
      <c r="H31" s="16"/>
      <c r="I31" s="16"/>
      <c r="J31" s="16"/>
      <c r="K31" s="17"/>
    </row>
    <row r="32" spans="1:11" ht="19.5" x14ac:dyDescent="0.55000000000000004">
      <c r="A32" s="114" t="s">
        <v>31</v>
      </c>
      <c r="B32" s="115"/>
      <c r="C32" s="117" t="s">
        <v>32</v>
      </c>
      <c r="D32" s="118"/>
      <c r="E32" s="118"/>
      <c r="F32" s="119"/>
      <c r="G32" s="114" t="s">
        <v>33</v>
      </c>
      <c r="H32" s="115"/>
      <c r="I32" s="114" t="s">
        <v>34</v>
      </c>
      <c r="J32" s="116"/>
      <c r="K32" s="115"/>
    </row>
    <row r="33" spans="1:11" ht="32.5" x14ac:dyDescent="0.55000000000000004">
      <c r="A33" s="114" t="s">
        <v>35</v>
      </c>
      <c r="B33" s="115"/>
      <c r="C33" s="117" t="s">
        <v>32</v>
      </c>
      <c r="D33" s="118"/>
      <c r="E33" s="118"/>
      <c r="F33" s="119"/>
      <c r="G33" s="120"/>
      <c r="H33" s="121"/>
      <c r="I33" s="16"/>
      <c r="J33" s="16"/>
      <c r="K33" s="16"/>
    </row>
    <row r="34" spans="1:11" ht="19.5" x14ac:dyDescent="0.55000000000000004">
      <c r="A34" s="114" t="s">
        <v>36</v>
      </c>
      <c r="B34" s="115"/>
      <c r="C34" s="117" t="s">
        <v>32</v>
      </c>
      <c r="D34" s="118"/>
      <c r="E34" s="118"/>
      <c r="F34" s="119"/>
      <c r="G34" s="114" t="s">
        <v>37</v>
      </c>
      <c r="H34" s="116"/>
      <c r="I34" s="116"/>
      <c r="J34" s="116"/>
      <c r="K34" s="116"/>
    </row>
    <row r="35" spans="1:11" ht="19.5" x14ac:dyDescent="0.55000000000000004">
      <c r="A35" s="114" t="s">
        <v>38</v>
      </c>
      <c r="B35" s="115"/>
      <c r="C35" s="117" t="s">
        <v>32</v>
      </c>
      <c r="D35" s="118"/>
      <c r="E35" s="118"/>
      <c r="F35" s="119"/>
      <c r="G35" s="114" t="s">
        <v>39</v>
      </c>
      <c r="H35" s="116"/>
      <c r="I35" s="116"/>
      <c r="J35" s="116"/>
      <c r="K35" s="116"/>
    </row>
    <row r="36" spans="1:11" x14ac:dyDescent="0.55000000000000004">
      <c r="A36" s="132" t="s">
        <v>40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</row>
    <row r="37" spans="1:11" ht="22" x14ac:dyDescent="0.55000000000000004">
      <c r="A37" s="14"/>
      <c r="B37" s="15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55000000000000004">
      <c r="A38" s="114" t="s">
        <v>41</v>
      </c>
      <c r="B38" s="116"/>
      <c r="C38" s="115"/>
      <c r="D38" s="114" t="s">
        <v>42</v>
      </c>
      <c r="E38" s="116"/>
      <c r="F38" s="116"/>
      <c r="G38" s="116"/>
      <c r="H38" s="116"/>
      <c r="I38" s="115"/>
      <c r="J38" s="114" t="s">
        <v>43</v>
      </c>
      <c r="K38" s="116"/>
    </row>
    <row r="39" spans="1:11" x14ac:dyDescent="0.5500000000000000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55000000000000004">
      <c r="A40" s="133" t="s">
        <v>44</v>
      </c>
      <c r="B40" s="133"/>
      <c r="C40" s="133"/>
      <c r="D40" s="133"/>
      <c r="E40" s="133"/>
      <c r="F40" s="133"/>
      <c r="G40" s="133"/>
      <c r="H40" s="133"/>
      <c r="I40" s="133"/>
      <c r="J40" s="133"/>
      <c r="K40" s="133"/>
    </row>
    <row r="41" spans="1:11" x14ac:dyDescent="0.55000000000000004">
      <c r="A41" s="134" t="s">
        <v>45</v>
      </c>
      <c r="B41" s="135"/>
      <c r="C41" s="135"/>
      <c r="D41" s="135"/>
      <c r="E41" s="135"/>
      <c r="F41" s="135"/>
      <c r="G41" s="135"/>
      <c r="H41" s="135"/>
      <c r="I41" s="135"/>
      <c r="J41" s="135"/>
      <c r="K41" s="135"/>
    </row>
    <row r="42" spans="1:11" x14ac:dyDescent="0.55000000000000004">
      <c r="A42" s="122" t="s">
        <v>46</v>
      </c>
      <c r="B42" s="123"/>
      <c r="C42" s="124"/>
      <c r="D42" s="130" t="s">
        <v>22</v>
      </c>
      <c r="E42" s="131"/>
      <c r="F42" s="122" t="s">
        <v>47</v>
      </c>
      <c r="G42" s="124"/>
      <c r="H42" s="122" t="s">
        <v>48</v>
      </c>
      <c r="I42" s="124"/>
      <c r="J42" s="122" t="s">
        <v>49</v>
      </c>
      <c r="K42" s="124"/>
    </row>
    <row r="43" spans="1:11" x14ac:dyDescent="0.55000000000000004">
      <c r="A43" s="122"/>
      <c r="B43" s="123"/>
      <c r="C43" s="124"/>
      <c r="D43" s="125"/>
      <c r="E43" s="126"/>
      <c r="F43" s="122"/>
      <c r="G43" s="124"/>
      <c r="H43" s="127"/>
      <c r="I43" s="128"/>
      <c r="J43" s="127"/>
      <c r="K43" s="129"/>
    </row>
    <row r="44" spans="1:11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55000000000000004">
      <c r="A45" s="18" t="s">
        <v>50</v>
      </c>
      <c r="B45" s="19"/>
      <c r="C45" s="19"/>
      <c r="D45" s="19"/>
      <c r="E45" s="19"/>
      <c r="F45" s="19"/>
      <c r="G45" s="19"/>
      <c r="H45" s="19"/>
      <c r="I45" s="19"/>
      <c r="J45" s="19"/>
      <c r="K45" s="20"/>
    </row>
    <row r="46" spans="1:11" x14ac:dyDescent="0.55000000000000004">
      <c r="A46" s="21"/>
      <c r="B46" s="1"/>
      <c r="C46" s="1"/>
      <c r="D46" s="1"/>
      <c r="E46" s="1"/>
      <c r="F46" s="1"/>
      <c r="G46" s="1"/>
      <c r="H46" s="1"/>
      <c r="I46" s="1"/>
      <c r="J46" s="1"/>
      <c r="K46" s="22"/>
    </row>
    <row r="47" spans="1:11" x14ac:dyDescent="0.55000000000000004">
      <c r="A47" s="136" t="s">
        <v>51</v>
      </c>
      <c r="B47" s="137"/>
      <c r="C47" s="138"/>
      <c r="D47" s="139" t="s">
        <v>52</v>
      </c>
      <c r="E47" s="140"/>
      <c r="F47" s="13" t="s">
        <v>53</v>
      </c>
      <c r="G47" s="13"/>
      <c r="H47" s="1"/>
      <c r="I47" s="1"/>
      <c r="J47" s="1"/>
      <c r="K47" s="22"/>
    </row>
    <row r="48" spans="1:11" x14ac:dyDescent="0.55000000000000004">
      <c r="A48" s="141" t="s">
        <v>54</v>
      </c>
      <c r="B48" s="142"/>
      <c r="C48" s="142"/>
      <c r="D48" s="142"/>
      <c r="E48" s="142"/>
      <c r="F48" s="142"/>
      <c r="G48" s="142"/>
      <c r="H48" s="142"/>
      <c r="I48" s="142"/>
      <c r="J48" s="142"/>
      <c r="K48" s="142"/>
    </row>
    <row r="49" spans="1:11" x14ac:dyDescent="0.55000000000000004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7"/>
    </row>
    <row r="50" spans="1:11" x14ac:dyDescent="0.55000000000000004">
      <c r="A50" s="23"/>
      <c r="B50" s="15"/>
      <c r="C50" s="15"/>
      <c r="D50" s="24"/>
      <c r="E50" s="24"/>
      <c r="F50" s="13"/>
      <c r="G50" s="13"/>
      <c r="H50" s="1"/>
      <c r="I50" s="1"/>
      <c r="J50" s="1"/>
      <c r="K50" s="22"/>
    </row>
    <row r="51" spans="1:11" ht="32.5" x14ac:dyDescent="0.55000000000000004">
      <c r="A51" s="28" t="s">
        <v>55</v>
      </c>
      <c r="B51" s="30"/>
      <c r="C51" s="16"/>
      <c r="D51" s="16"/>
      <c r="E51" s="16"/>
      <c r="F51" s="16"/>
      <c r="G51" s="16"/>
      <c r="H51" s="16"/>
      <c r="I51" s="16"/>
      <c r="J51" s="1"/>
      <c r="K51" s="22"/>
    </row>
    <row r="52" spans="1:11" ht="32.5" x14ac:dyDescent="0.55000000000000004">
      <c r="A52" s="31"/>
      <c r="B52" s="29" t="s">
        <v>56</v>
      </c>
      <c r="C52" s="16"/>
      <c r="D52" s="16"/>
      <c r="E52" s="16"/>
      <c r="F52" s="16"/>
      <c r="G52" s="16"/>
      <c r="H52" s="16"/>
      <c r="I52" s="16"/>
      <c r="J52" s="1"/>
      <c r="K52" s="22"/>
    </row>
    <row r="53" spans="1:11" ht="24.5" x14ac:dyDescent="0.55000000000000004">
      <c r="A53" s="31"/>
      <c r="B53" s="143" t="s">
        <v>57</v>
      </c>
      <c r="C53" s="143"/>
      <c r="D53" s="143"/>
      <c r="E53" s="143"/>
      <c r="F53" s="143"/>
      <c r="G53" s="143"/>
      <c r="H53" s="144"/>
      <c r="I53" s="144"/>
      <c r="J53" s="32"/>
      <c r="K53" s="22"/>
    </row>
    <row r="54" spans="1:11" x14ac:dyDescent="0.55000000000000004">
      <c r="A54" s="33"/>
      <c r="B54" s="34"/>
      <c r="C54" s="34"/>
      <c r="D54" s="35"/>
      <c r="E54" s="35"/>
      <c r="F54" s="36"/>
      <c r="G54" s="36"/>
      <c r="H54" s="26"/>
      <c r="I54" s="26"/>
      <c r="J54" s="26"/>
      <c r="K54" s="27"/>
    </row>
  </sheetData>
  <mergeCells count="89">
    <mergeCell ref="A47:C47"/>
    <mergeCell ref="D47:E47"/>
    <mergeCell ref="A48:K48"/>
    <mergeCell ref="B53:G53"/>
    <mergeCell ref="H53:I53"/>
    <mergeCell ref="J7:K9"/>
    <mergeCell ref="A42:C42"/>
    <mergeCell ref="D42:E42"/>
    <mergeCell ref="F42:G42"/>
    <mergeCell ref="H42:I42"/>
    <mergeCell ref="J42:K42"/>
    <mergeCell ref="A36:K36"/>
    <mergeCell ref="A38:C38"/>
    <mergeCell ref="D38:I38"/>
    <mergeCell ref="J38:K38"/>
    <mergeCell ref="A40:K40"/>
    <mergeCell ref="A41:K41"/>
    <mergeCell ref="A34:B34"/>
    <mergeCell ref="C34:F34"/>
    <mergeCell ref="G34:K34"/>
    <mergeCell ref="A35:B35"/>
    <mergeCell ref="A43:C43"/>
    <mergeCell ref="D43:E43"/>
    <mergeCell ref="F43:G43"/>
    <mergeCell ref="H43:I43"/>
    <mergeCell ref="J43:K43"/>
    <mergeCell ref="C35:F35"/>
    <mergeCell ref="G35:K35"/>
    <mergeCell ref="A32:B32"/>
    <mergeCell ref="C32:F32"/>
    <mergeCell ref="G32:H32"/>
    <mergeCell ref="I32:K32"/>
    <mergeCell ref="A33:B33"/>
    <mergeCell ref="C33:F33"/>
    <mergeCell ref="G33:H33"/>
    <mergeCell ref="A29:B29"/>
    <mergeCell ref="C29:D29"/>
    <mergeCell ref="E29:H29"/>
    <mergeCell ref="I29:K29"/>
    <mergeCell ref="A30:B30"/>
    <mergeCell ref="C30:D30"/>
    <mergeCell ref="E30:H30"/>
    <mergeCell ref="I30:K30"/>
    <mergeCell ref="A22:B22"/>
    <mergeCell ref="C22:K22"/>
    <mergeCell ref="A23:B24"/>
    <mergeCell ref="C23:K23"/>
    <mergeCell ref="C24:K24"/>
    <mergeCell ref="A26:A27"/>
    <mergeCell ref="B26:C27"/>
    <mergeCell ref="D26:D27"/>
    <mergeCell ref="E26:G27"/>
    <mergeCell ref="I26:K27"/>
    <mergeCell ref="A17:A21"/>
    <mergeCell ref="C17:F17"/>
    <mergeCell ref="G17:H17"/>
    <mergeCell ref="I17:K17"/>
    <mergeCell ref="C18:K18"/>
    <mergeCell ref="C19:K19"/>
    <mergeCell ref="C20:F20"/>
    <mergeCell ref="G20:H20"/>
    <mergeCell ref="I20:K20"/>
    <mergeCell ref="C21:K21"/>
    <mergeCell ref="A11:A15"/>
    <mergeCell ref="C11:F11"/>
    <mergeCell ref="G11:H11"/>
    <mergeCell ref="I11:K11"/>
    <mergeCell ref="C12:K12"/>
    <mergeCell ref="C13:K13"/>
    <mergeCell ref="C14:F14"/>
    <mergeCell ref="G14:H14"/>
    <mergeCell ref="I14:K14"/>
    <mergeCell ref="C15:K15"/>
    <mergeCell ref="A7:A9"/>
    <mergeCell ref="B7:B9"/>
    <mergeCell ref="C7:G9"/>
    <mergeCell ref="H7:H9"/>
    <mergeCell ref="I7:I9"/>
    <mergeCell ref="A1:K1"/>
    <mergeCell ref="J2:K2"/>
    <mergeCell ref="A3:A6"/>
    <mergeCell ref="B3:B4"/>
    <mergeCell ref="C3:H4"/>
    <mergeCell ref="J3:K3"/>
    <mergeCell ref="J4:K4"/>
    <mergeCell ref="B5:B6"/>
    <mergeCell ref="C5:H6"/>
    <mergeCell ref="J5:K5"/>
    <mergeCell ref="J6:K6"/>
  </mergeCells>
  <phoneticPr fontId="2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96"/>
  <sheetViews>
    <sheetView tabSelected="1" zoomScale="70" zoomScaleNormal="70" workbookViewId="0">
      <selection activeCell="E18" sqref="E18"/>
    </sheetView>
  </sheetViews>
  <sheetFormatPr defaultRowHeight="18" x14ac:dyDescent="0.55000000000000004"/>
  <cols>
    <col min="1" max="1" width="6" customWidth="1"/>
    <col min="2" max="2" width="12" customWidth="1"/>
    <col min="3" max="3" width="10" customWidth="1"/>
    <col min="4" max="4" width="9" customWidth="1"/>
    <col min="5" max="5" width="30" customWidth="1"/>
    <col min="6" max="7" width="14" customWidth="1"/>
    <col min="8" max="9" width="12" customWidth="1"/>
    <col min="10" max="12" width="14" customWidth="1"/>
    <col min="13" max="13" width="12" customWidth="1"/>
    <col min="14" max="16" width="14" customWidth="1"/>
    <col min="17" max="17" width="11" customWidth="1"/>
    <col min="18" max="18" width="14" customWidth="1"/>
    <col min="19" max="21" width="15" customWidth="1"/>
    <col min="22" max="22" width="28" customWidth="1"/>
    <col min="23" max="23" width="18" customWidth="1"/>
    <col min="24" max="24" width="16" customWidth="1"/>
    <col min="25" max="25" width="10" customWidth="1"/>
    <col min="26" max="26" width="32" customWidth="1"/>
    <col min="27" max="29" width="20" customWidth="1"/>
    <col min="30" max="30" width="18" customWidth="1"/>
    <col min="31" max="33" width="20" customWidth="1"/>
    <col min="34" max="34" width="22" customWidth="1"/>
    <col min="35" max="35" width="14" customWidth="1"/>
    <col min="36" max="36" width="12" customWidth="1"/>
    <col min="37" max="38" width="18" customWidth="1"/>
    <col min="39" max="39" width="30" customWidth="1"/>
    <col min="40" max="40" width="24" customWidth="1"/>
    <col min="41" max="41" width="28" customWidth="1"/>
    <col min="42" max="42" width="34" customWidth="1"/>
    <col min="43" max="43" width="54" customWidth="1"/>
    <col min="44" max="44" width="58" customWidth="1"/>
    <col min="45" max="45" width="24" customWidth="1"/>
    <col min="46" max="46" width="46" customWidth="1"/>
    <col min="47" max="47" width="28" customWidth="1"/>
    <col min="48" max="48" width="15" customWidth="1"/>
  </cols>
  <sheetData>
    <row r="1" spans="1:48" s="147" customFormat="1" ht="26.5" x14ac:dyDescent="0.55000000000000004">
      <c r="A1" s="147" t="s">
        <v>58</v>
      </c>
    </row>
    <row r="2" spans="1:48" x14ac:dyDescent="0.55000000000000004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</row>
    <row r="3" spans="1:48" ht="36" x14ac:dyDescent="0.55000000000000004">
      <c r="A3" s="38" t="s">
        <v>59</v>
      </c>
      <c r="B3" s="38" t="s">
        <v>60</v>
      </c>
      <c r="C3" s="38" t="s">
        <v>61</v>
      </c>
      <c r="D3" s="38" t="s">
        <v>62</v>
      </c>
      <c r="E3" s="38" t="s">
        <v>63</v>
      </c>
      <c r="F3" s="38" t="s">
        <v>64</v>
      </c>
      <c r="G3" s="38" t="s">
        <v>65</v>
      </c>
      <c r="H3" s="38" t="s">
        <v>66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</row>
    <row r="4" spans="1:48" x14ac:dyDescent="0.55000000000000004">
      <c r="A4" s="38">
        <f>COUNTA(C7:C106)</f>
        <v>90</v>
      </c>
      <c r="B4" s="38">
        <f>COUNTIF(Y7:Y106,"合格")</f>
        <v>0</v>
      </c>
      <c r="C4" s="38">
        <f>COUNTIF(Y7:Y106,"不合格")</f>
        <v>0</v>
      </c>
      <c r="D4" s="38">
        <f>IF(A4=0,"",B4/A4)</f>
        <v>0</v>
      </c>
      <c r="E4" s="38">
        <f>SUM(Q7:Q106)</f>
        <v>0</v>
      </c>
      <c r="F4" s="38">
        <f>SUM(R7:R106)</f>
        <v>0</v>
      </c>
      <c r="G4" s="38">
        <f>SUM(T7:T106)</f>
        <v>0</v>
      </c>
      <c r="H4" s="38" t="str">
        <f>IFERROR(AVERAGE(N7:N106),"")</f>
        <v/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</row>
    <row r="5" spans="1:48" x14ac:dyDescent="0.55000000000000004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</row>
    <row r="6" spans="1:48" ht="17.649999999999999" customHeight="1" x14ac:dyDescent="0.55000000000000004">
      <c r="A6" s="40" t="s">
        <v>67</v>
      </c>
      <c r="B6" s="40" t="s">
        <v>68</v>
      </c>
      <c r="C6" s="40" t="s">
        <v>69</v>
      </c>
      <c r="D6" s="40" t="s">
        <v>70</v>
      </c>
      <c r="E6" s="40" t="s">
        <v>71</v>
      </c>
      <c r="F6" s="40" t="s">
        <v>72</v>
      </c>
      <c r="G6" s="40" t="s">
        <v>73</v>
      </c>
      <c r="H6" s="40" t="s">
        <v>74</v>
      </c>
      <c r="I6" s="40" t="s">
        <v>75</v>
      </c>
      <c r="J6" s="40" t="s">
        <v>76</v>
      </c>
      <c r="K6" s="40" t="s">
        <v>77</v>
      </c>
      <c r="L6" s="40" t="s">
        <v>78</v>
      </c>
      <c r="M6" s="40" t="s">
        <v>79</v>
      </c>
      <c r="N6" s="40" t="s">
        <v>80</v>
      </c>
      <c r="O6" s="40" t="s">
        <v>81</v>
      </c>
      <c r="P6" s="40" t="s">
        <v>82</v>
      </c>
      <c r="Q6" s="40" t="s">
        <v>83</v>
      </c>
      <c r="R6" s="40" t="s">
        <v>84</v>
      </c>
      <c r="S6" s="40" t="s">
        <v>85</v>
      </c>
      <c r="T6" s="40" t="s">
        <v>86</v>
      </c>
      <c r="U6" s="40" t="s">
        <v>87</v>
      </c>
      <c r="V6" s="40" t="s">
        <v>88</v>
      </c>
      <c r="W6" s="40" t="s">
        <v>89</v>
      </c>
      <c r="X6" s="40" t="s">
        <v>90</v>
      </c>
      <c r="Y6" s="40" t="s">
        <v>91</v>
      </c>
      <c r="Z6" s="40" t="s">
        <v>92</v>
      </c>
      <c r="AA6" s="40" t="s">
        <v>93</v>
      </c>
      <c r="AB6" s="40" t="s">
        <v>94</v>
      </c>
      <c r="AC6" s="40" t="s">
        <v>95</v>
      </c>
      <c r="AD6" s="40" t="s">
        <v>96</v>
      </c>
      <c r="AE6" s="40" t="s">
        <v>97</v>
      </c>
      <c r="AF6" s="40" t="s">
        <v>98</v>
      </c>
      <c r="AG6" s="40" t="s">
        <v>99</v>
      </c>
      <c r="AH6" s="40" t="s">
        <v>100</v>
      </c>
      <c r="AI6" s="40" t="s">
        <v>101</v>
      </c>
      <c r="AJ6" s="40" t="s">
        <v>102</v>
      </c>
      <c r="AK6" s="40" t="s">
        <v>103</v>
      </c>
      <c r="AL6" s="40" t="s">
        <v>104</v>
      </c>
      <c r="AM6" s="40" t="s">
        <v>105</v>
      </c>
      <c r="AN6" s="40" t="s">
        <v>106</v>
      </c>
      <c r="AO6" s="40" t="s">
        <v>107</v>
      </c>
      <c r="AP6" s="40" t="s">
        <v>108</v>
      </c>
      <c r="AQ6" s="40" t="s">
        <v>109</v>
      </c>
      <c r="AR6" s="40" t="s">
        <v>110</v>
      </c>
      <c r="AS6" s="40" t="s">
        <v>111</v>
      </c>
      <c r="AT6" s="40" t="s">
        <v>112</v>
      </c>
      <c r="AU6" s="40" t="s">
        <v>113</v>
      </c>
      <c r="AV6" s="40" t="s">
        <v>114</v>
      </c>
    </row>
    <row r="7" spans="1:48" ht="17.649999999999999" customHeight="1" x14ac:dyDescent="0.55000000000000004">
      <c r="A7" s="38">
        <v>1</v>
      </c>
      <c r="B7" s="38"/>
      <c r="C7" s="38" t="s">
        <v>115</v>
      </c>
      <c r="D7" s="38" t="s">
        <v>116</v>
      </c>
      <c r="E7" s="38" t="s">
        <v>117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 t="s">
        <v>118</v>
      </c>
      <c r="AO7" s="38" t="s">
        <v>119</v>
      </c>
      <c r="AP7" s="38" t="s">
        <v>120</v>
      </c>
      <c r="AQ7" s="38" t="s">
        <v>121</v>
      </c>
      <c r="AR7" s="38" t="s">
        <v>122</v>
      </c>
      <c r="AS7" s="38" t="s">
        <v>123</v>
      </c>
      <c r="AT7" s="38" t="s">
        <v>124</v>
      </c>
      <c r="AU7" s="38" t="s">
        <v>125</v>
      </c>
      <c r="AV7" s="38" t="s">
        <v>126</v>
      </c>
    </row>
    <row r="8" spans="1:48" ht="17.649999999999999" customHeight="1" x14ac:dyDescent="0.55000000000000004">
      <c r="A8" s="38">
        <v>2</v>
      </c>
      <c r="B8" s="38"/>
      <c r="C8" s="38" t="s">
        <v>127</v>
      </c>
      <c r="D8" s="38" t="s">
        <v>128</v>
      </c>
      <c r="E8" s="38" t="s">
        <v>129</v>
      </c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 t="s">
        <v>130</v>
      </c>
      <c r="AO8" s="38" t="s">
        <v>131</v>
      </c>
      <c r="AP8" s="38" t="s">
        <v>132</v>
      </c>
      <c r="AQ8" s="38" t="s">
        <v>133</v>
      </c>
      <c r="AR8" s="38" t="s">
        <v>134</v>
      </c>
      <c r="AS8" s="38" t="s">
        <v>123</v>
      </c>
      <c r="AT8" s="38" t="s">
        <v>135</v>
      </c>
      <c r="AU8" s="38" t="s">
        <v>136</v>
      </c>
      <c r="AV8" s="38" t="s">
        <v>137</v>
      </c>
    </row>
    <row r="9" spans="1:48" ht="17.649999999999999" customHeight="1" x14ac:dyDescent="0.55000000000000004">
      <c r="A9" s="38">
        <v>3</v>
      </c>
      <c r="B9" s="38"/>
      <c r="C9" s="38" t="s">
        <v>138</v>
      </c>
      <c r="D9" s="38" t="s">
        <v>139</v>
      </c>
      <c r="E9" s="38" t="s">
        <v>140</v>
      </c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 t="s">
        <v>141</v>
      </c>
      <c r="AO9" s="38" t="s">
        <v>142</v>
      </c>
      <c r="AP9" s="38" t="s">
        <v>143</v>
      </c>
      <c r="AQ9" s="38" t="s">
        <v>144</v>
      </c>
      <c r="AR9" s="38" t="s">
        <v>145</v>
      </c>
      <c r="AS9" s="38" t="s">
        <v>123</v>
      </c>
      <c r="AT9" s="38" t="s">
        <v>146</v>
      </c>
      <c r="AU9" s="38" t="s">
        <v>147</v>
      </c>
      <c r="AV9" s="38" t="s">
        <v>148</v>
      </c>
    </row>
    <row r="10" spans="1:48" ht="17.649999999999999" customHeight="1" x14ac:dyDescent="0.55000000000000004">
      <c r="A10" s="38">
        <v>4</v>
      </c>
      <c r="B10" s="38"/>
      <c r="C10" s="38" t="s">
        <v>149</v>
      </c>
      <c r="D10" s="38" t="s">
        <v>150</v>
      </c>
      <c r="E10" s="38" t="s">
        <v>151</v>
      </c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 t="s">
        <v>152</v>
      </c>
      <c r="AO10" s="38" t="s">
        <v>153</v>
      </c>
      <c r="AP10" s="38" t="s">
        <v>154</v>
      </c>
      <c r="AQ10" s="38" t="s">
        <v>155</v>
      </c>
      <c r="AR10" s="38" t="s">
        <v>156</v>
      </c>
      <c r="AS10" s="38" t="s">
        <v>123</v>
      </c>
      <c r="AT10" s="38" t="s">
        <v>157</v>
      </c>
      <c r="AU10" s="38" t="s">
        <v>158</v>
      </c>
      <c r="AV10" s="38" t="s">
        <v>159</v>
      </c>
    </row>
    <row r="11" spans="1:48" ht="17.649999999999999" customHeight="1" x14ac:dyDescent="0.55000000000000004">
      <c r="A11" s="38">
        <v>5</v>
      </c>
      <c r="B11" s="38"/>
      <c r="C11" s="38" t="s">
        <v>160</v>
      </c>
      <c r="D11" s="38" t="s">
        <v>150</v>
      </c>
      <c r="E11" s="38" t="s">
        <v>161</v>
      </c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 t="s">
        <v>152</v>
      </c>
      <c r="AO11" s="38" t="s">
        <v>162</v>
      </c>
      <c r="AP11" s="38" t="s">
        <v>154</v>
      </c>
      <c r="AQ11" s="38" t="s">
        <v>155</v>
      </c>
      <c r="AR11" s="38" t="s">
        <v>163</v>
      </c>
      <c r="AS11" s="38" t="s">
        <v>123</v>
      </c>
      <c r="AT11" s="38" t="s">
        <v>157</v>
      </c>
      <c r="AU11" s="38" t="s">
        <v>158</v>
      </c>
      <c r="AV11" s="38" t="s">
        <v>164</v>
      </c>
    </row>
    <row r="12" spans="1:48" ht="17.649999999999999" customHeight="1" x14ac:dyDescent="0.55000000000000004">
      <c r="A12" s="38">
        <v>6</v>
      </c>
      <c r="B12" s="38"/>
      <c r="C12" s="38" t="s">
        <v>165</v>
      </c>
      <c r="D12" s="38" t="s">
        <v>128</v>
      </c>
      <c r="E12" s="38" t="s">
        <v>166</v>
      </c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 t="s">
        <v>130</v>
      </c>
      <c r="AO12" s="38" t="s">
        <v>167</v>
      </c>
      <c r="AP12" s="38" t="s">
        <v>132</v>
      </c>
      <c r="AQ12" s="38" t="s">
        <v>133</v>
      </c>
      <c r="AR12" s="38" t="s">
        <v>168</v>
      </c>
      <c r="AS12" s="38" t="s">
        <v>123</v>
      </c>
      <c r="AT12" s="38" t="s">
        <v>135</v>
      </c>
      <c r="AU12" s="38" t="s">
        <v>136</v>
      </c>
      <c r="AV12" s="38" t="s">
        <v>169</v>
      </c>
    </row>
    <row r="13" spans="1:48" ht="17.649999999999999" customHeight="1" x14ac:dyDescent="0.55000000000000004">
      <c r="A13" s="38">
        <v>7</v>
      </c>
      <c r="B13" s="38"/>
      <c r="C13" s="38" t="s">
        <v>170</v>
      </c>
      <c r="D13" s="38" t="s">
        <v>171</v>
      </c>
      <c r="E13" s="38" t="s">
        <v>172</v>
      </c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 t="s">
        <v>173</v>
      </c>
      <c r="AO13" s="38" t="s">
        <v>174</v>
      </c>
      <c r="AP13" s="38" t="s">
        <v>175</v>
      </c>
      <c r="AQ13" s="38" t="s">
        <v>176</v>
      </c>
      <c r="AR13" s="38" t="s">
        <v>177</v>
      </c>
      <c r="AS13" s="38" t="s">
        <v>178</v>
      </c>
      <c r="AT13" s="38" t="s">
        <v>179</v>
      </c>
      <c r="AU13" s="38" t="s">
        <v>180</v>
      </c>
      <c r="AV13" s="38" t="s">
        <v>181</v>
      </c>
    </row>
    <row r="14" spans="1:48" ht="17.649999999999999" customHeight="1" x14ac:dyDescent="0.55000000000000004">
      <c r="A14" s="38">
        <v>8</v>
      </c>
      <c r="B14" s="38"/>
      <c r="C14" s="38" t="s">
        <v>182</v>
      </c>
      <c r="D14" s="38" t="s">
        <v>183</v>
      </c>
      <c r="E14" s="38" t="s">
        <v>184</v>
      </c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 t="s">
        <v>185</v>
      </c>
      <c r="AO14" s="38" t="s">
        <v>186</v>
      </c>
      <c r="AP14" s="38" t="s">
        <v>187</v>
      </c>
      <c r="AQ14" s="38" t="s">
        <v>188</v>
      </c>
      <c r="AR14" s="38" t="s">
        <v>189</v>
      </c>
      <c r="AS14" s="38" t="s">
        <v>123</v>
      </c>
      <c r="AT14" s="38" t="s">
        <v>190</v>
      </c>
      <c r="AU14" s="38" t="s">
        <v>191</v>
      </c>
      <c r="AV14" s="38" t="s">
        <v>192</v>
      </c>
    </row>
    <row r="15" spans="1:48" ht="17.649999999999999" customHeight="1" x14ac:dyDescent="0.55000000000000004">
      <c r="A15" s="38">
        <v>9</v>
      </c>
      <c r="B15" s="38"/>
      <c r="C15" s="38" t="s">
        <v>193</v>
      </c>
      <c r="D15" s="38" t="s">
        <v>150</v>
      </c>
      <c r="E15" s="38" t="s">
        <v>194</v>
      </c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 t="s">
        <v>152</v>
      </c>
      <c r="AO15" s="38" t="s">
        <v>195</v>
      </c>
      <c r="AP15" s="38" t="s">
        <v>154</v>
      </c>
      <c r="AQ15" s="38" t="s">
        <v>155</v>
      </c>
      <c r="AR15" s="38" t="s">
        <v>196</v>
      </c>
      <c r="AS15" s="38" t="s">
        <v>123</v>
      </c>
      <c r="AT15" s="38" t="s">
        <v>157</v>
      </c>
      <c r="AU15" s="38" t="s">
        <v>158</v>
      </c>
      <c r="AV15" s="38" t="s">
        <v>197</v>
      </c>
    </row>
    <row r="16" spans="1:48" ht="17.649999999999999" customHeight="1" x14ac:dyDescent="0.55000000000000004">
      <c r="A16" s="38">
        <v>10</v>
      </c>
      <c r="B16" s="38"/>
      <c r="C16" s="38" t="s">
        <v>198</v>
      </c>
      <c r="D16" s="38" t="s">
        <v>116</v>
      </c>
      <c r="E16" s="38" t="s">
        <v>117</v>
      </c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 t="s">
        <v>118</v>
      </c>
      <c r="AO16" s="38" t="s">
        <v>199</v>
      </c>
      <c r="AP16" s="38" t="s">
        <v>120</v>
      </c>
      <c r="AQ16" s="38" t="s">
        <v>121</v>
      </c>
      <c r="AR16" s="38" t="s">
        <v>200</v>
      </c>
      <c r="AS16" s="38" t="s">
        <v>123</v>
      </c>
      <c r="AT16" s="38" t="s">
        <v>124</v>
      </c>
      <c r="AU16" s="38" t="s">
        <v>125</v>
      </c>
      <c r="AV16" s="38" t="s">
        <v>201</v>
      </c>
    </row>
    <row r="17" spans="1:48" ht="17.649999999999999" customHeight="1" x14ac:dyDescent="0.55000000000000004">
      <c r="A17" s="38">
        <v>11</v>
      </c>
      <c r="B17" s="38"/>
      <c r="C17" s="38" t="s">
        <v>202</v>
      </c>
      <c r="D17" s="38" t="s">
        <v>116</v>
      </c>
      <c r="E17" s="38" t="s">
        <v>117</v>
      </c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 t="s">
        <v>118</v>
      </c>
      <c r="AO17" s="38" t="s">
        <v>162</v>
      </c>
      <c r="AP17" s="38" t="s">
        <v>120</v>
      </c>
      <c r="AQ17" s="38" t="s">
        <v>121</v>
      </c>
      <c r="AR17" s="38" t="s">
        <v>203</v>
      </c>
      <c r="AS17" s="38" t="s">
        <v>123</v>
      </c>
      <c r="AT17" s="38" t="s">
        <v>124</v>
      </c>
      <c r="AU17" s="38" t="s">
        <v>125</v>
      </c>
      <c r="AV17" s="38" t="s">
        <v>204</v>
      </c>
    </row>
    <row r="18" spans="1:48" ht="17.649999999999999" customHeight="1" x14ac:dyDescent="0.55000000000000004">
      <c r="A18" s="38">
        <v>12</v>
      </c>
      <c r="B18" s="38"/>
      <c r="C18" s="38" t="s">
        <v>205</v>
      </c>
      <c r="D18" s="38" t="s">
        <v>128</v>
      </c>
      <c r="E18" s="38" t="s">
        <v>129</v>
      </c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 t="s">
        <v>130</v>
      </c>
      <c r="AO18" s="38" t="s">
        <v>131</v>
      </c>
      <c r="AP18" s="38" t="s">
        <v>132</v>
      </c>
      <c r="AQ18" s="38" t="s">
        <v>133</v>
      </c>
      <c r="AR18" s="38" t="s">
        <v>206</v>
      </c>
      <c r="AS18" s="38" t="s">
        <v>123</v>
      </c>
      <c r="AT18" s="38" t="s">
        <v>135</v>
      </c>
      <c r="AU18" s="38" t="s">
        <v>136</v>
      </c>
      <c r="AV18" s="38" t="s">
        <v>207</v>
      </c>
    </row>
    <row r="19" spans="1:48" ht="17.649999999999999" customHeight="1" x14ac:dyDescent="0.55000000000000004">
      <c r="A19" s="38">
        <v>13</v>
      </c>
      <c r="B19" s="38"/>
      <c r="C19" s="38" t="s">
        <v>208</v>
      </c>
      <c r="D19" s="38" t="s">
        <v>209</v>
      </c>
      <c r="E19" s="38" t="s">
        <v>210</v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 t="s">
        <v>211</v>
      </c>
      <c r="AO19" s="38" t="s">
        <v>142</v>
      </c>
      <c r="AP19" s="38" t="s">
        <v>212</v>
      </c>
      <c r="AQ19" s="38" t="s">
        <v>213</v>
      </c>
      <c r="AR19" s="38" t="s">
        <v>214</v>
      </c>
      <c r="AS19" s="38" t="s">
        <v>215</v>
      </c>
      <c r="AT19" s="38" t="s">
        <v>216</v>
      </c>
      <c r="AU19" s="38" t="s">
        <v>217</v>
      </c>
      <c r="AV19" s="38" t="s">
        <v>218</v>
      </c>
    </row>
    <row r="20" spans="1:48" ht="17.649999999999999" customHeight="1" x14ac:dyDescent="0.55000000000000004">
      <c r="A20" s="38">
        <v>14</v>
      </c>
      <c r="B20" s="38"/>
      <c r="C20" s="38" t="s">
        <v>219</v>
      </c>
      <c r="D20" s="38" t="s">
        <v>220</v>
      </c>
      <c r="E20" s="38" t="s">
        <v>151</v>
      </c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 t="s">
        <v>221</v>
      </c>
      <c r="AO20" s="38" t="s">
        <v>153</v>
      </c>
      <c r="AP20" s="38" t="s">
        <v>222</v>
      </c>
      <c r="AQ20" s="38" t="s">
        <v>223</v>
      </c>
      <c r="AR20" s="38" t="s">
        <v>224</v>
      </c>
      <c r="AS20" s="38" t="s">
        <v>123</v>
      </c>
      <c r="AT20" s="38" t="s">
        <v>225</v>
      </c>
      <c r="AU20" s="38" t="s">
        <v>226</v>
      </c>
      <c r="AV20" s="38" t="s">
        <v>227</v>
      </c>
    </row>
    <row r="21" spans="1:48" ht="17.649999999999999" customHeight="1" x14ac:dyDescent="0.55000000000000004">
      <c r="A21" s="38">
        <v>15</v>
      </c>
      <c r="B21" s="38"/>
      <c r="C21" s="38" t="s">
        <v>228</v>
      </c>
      <c r="D21" s="38" t="s">
        <v>171</v>
      </c>
      <c r="E21" s="38" t="s">
        <v>172</v>
      </c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 t="s">
        <v>173</v>
      </c>
      <c r="AO21" s="38" t="s">
        <v>229</v>
      </c>
      <c r="AP21" s="38" t="s">
        <v>175</v>
      </c>
      <c r="AQ21" s="38" t="s">
        <v>176</v>
      </c>
      <c r="AR21" s="38" t="s">
        <v>230</v>
      </c>
      <c r="AS21" s="38" t="s">
        <v>178</v>
      </c>
      <c r="AT21" s="38" t="s">
        <v>179</v>
      </c>
      <c r="AU21" s="38" t="s">
        <v>180</v>
      </c>
      <c r="AV21" s="38" t="s">
        <v>231</v>
      </c>
    </row>
    <row r="22" spans="1:48" ht="17.649999999999999" customHeight="1" x14ac:dyDescent="0.55000000000000004">
      <c r="A22" s="38">
        <v>16</v>
      </c>
      <c r="B22" s="38"/>
      <c r="C22" s="38" t="s">
        <v>232</v>
      </c>
      <c r="D22" s="38" t="s">
        <v>220</v>
      </c>
      <c r="E22" s="38" t="s">
        <v>233</v>
      </c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 t="s">
        <v>221</v>
      </c>
      <c r="AO22" s="38" t="s">
        <v>234</v>
      </c>
      <c r="AP22" s="38" t="s">
        <v>222</v>
      </c>
      <c r="AQ22" s="38" t="s">
        <v>223</v>
      </c>
      <c r="AR22" s="38" t="s">
        <v>235</v>
      </c>
      <c r="AS22" s="38" t="s">
        <v>123</v>
      </c>
      <c r="AT22" s="38" t="s">
        <v>225</v>
      </c>
      <c r="AU22" s="38" t="s">
        <v>226</v>
      </c>
      <c r="AV22" s="38" t="s">
        <v>236</v>
      </c>
    </row>
    <row r="23" spans="1:48" ht="17.649999999999999" customHeight="1" x14ac:dyDescent="0.55000000000000004">
      <c r="A23" s="38">
        <v>17</v>
      </c>
      <c r="B23" s="38"/>
      <c r="C23" s="38" t="s">
        <v>237</v>
      </c>
      <c r="D23" s="38" t="s">
        <v>150</v>
      </c>
      <c r="E23" s="38" t="s">
        <v>238</v>
      </c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 t="s">
        <v>152</v>
      </c>
      <c r="AO23" s="38" t="s">
        <v>131</v>
      </c>
      <c r="AP23" s="38" t="s">
        <v>154</v>
      </c>
      <c r="AQ23" s="38" t="s">
        <v>155</v>
      </c>
      <c r="AR23" s="38" t="s">
        <v>239</v>
      </c>
      <c r="AS23" s="38" t="s">
        <v>123</v>
      </c>
      <c r="AT23" s="38" t="s">
        <v>157</v>
      </c>
      <c r="AU23" s="38" t="s">
        <v>158</v>
      </c>
      <c r="AV23" s="38" t="s">
        <v>240</v>
      </c>
    </row>
    <row r="24" spans="1:48" ht="17.649999999999999" customHeight="1" x14ac:dyDescent="0.55000000000000004">
      <c r="A24" s="38">
        <v>18</v>
      </c>
      <c r="B24" s="38"/>
      <c r="C24" s="38" t="s">
        <v>241</v>
      </c>
      <c r="D24" s="38" t="s">
        <v>150</v>
      </c>
      <c r="E24" s="38" t="s">
        <v>242</v>
      </c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 t="s">
        <v>152</v>
      </c>
      <c r="AO24" s="38" t="s">
        <v>243</v>
      </c>
      <c r="AP24" s="38" t="s">
        <v>154</v>
      </c>
      <c r="AQ24" s="38" t="s">
        <v>155</v>
      </c>
      <c r="AR24" s="38" t="s">
        <v>244</v>
      </c>
      <c r="AS24" s="38" t="s">
        <v>123</v>
      </c>
      <c r="AT24" s="38" t="s">
        <v>157</v>
      </c>
      <c r="AU24" s="38" t="s">
        <v>158</v>
      </c>
      <c r="AV24" s="38" t="s">
        <v>245</v>
      </c>
    </row>
    <row r="25" spans="1:48" ht="17.649999999999999" customHeight="1" x14ac:dyDescent="0.55000000000000004">
      <c r="A25" s="38">
        <v>19</v>
      </c>
      <c r="B25" s="38"/>
      <c r="C25" s="38" t="s">
        <v>246</v>
      </c>
      <c r="D25" s="38" t="s">
        <v>183</v>
      </c>
      <c r="E25" s="38" t="s">
        <v>247</v>
      </c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 t="s">
        <v>185</v>
      </c>
      <c r="AO25" s="38" t="s">
        <v>167</v>
      </c>
      <c r="AP25" s="38" t="s">
        <v>187</v>
      </c>
      <c r="AQ25" s="38" t="s">
        <v>188</v>
      </c>
      <c r="AR25" s="38" t="s">
        <v>248</v>
      </c>
      <c r="AS25" s="38" t="s">
        <v>123</v>
      </c>
      <c r="AT25" s="38" t="s">
        <v>190</v>
      </c>
      <c r="AU25" s="38" t="s">
        <v>191</v>
      </c>
      <c r="AV25" s="38" t="s">
        <v>249</v>
      </c>
    </row>
    <row r="26" spans="1:48" ht="26.4" customHeight="1" x14ac:dyDescent="0.55000000000000004">
      <c r="A26" s="38">
        <v>20</v>
      </c>
      <c r="B26" s="38"/>
      <c r="C26" s="38" t="s">
        <v>250</v>
      </c>
      <c r="D26" s="38" t="s">
        <v>251</v>
      </c>
      <c r="E26" s="38" t="s">
        <v>252</v>
      </c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 t="s">
        <v>253</v>
      </c>
      <c r="AO26" s="38" t="s">
        <v>254</v>
      </c>
      <c r="AP26" s="38" t="s">
        <v>255</v>
      </c>
      <c r="AQ26" s="38" t="s">
        <v>256</v>
      </c>
      <c r="AR26" s="38" t="s">
        <v>257</v>
      </c>
      <c r="AS26" s="38" t="s">
        <v>123</v>
      </c>
      <c r="AT26" s="38" t="s">
        <v>258</v>
      </c>
      <c r="AU26" s="38" t="s">
        <v>259</v>
      </c>
      <c r="AV26" s="38" t="s">
        <v>260</v>
      </c>
    </row>
    <row r="27" spans="1:48" ht="17.649999999999999" customHeight="1" x14ac:dyDescent="0.55000000000000004">
      <c r="A27" s="38">
        <v>21</v>
      </c>
      <c r="B27" s="38"/>
      <c r="C27" s="38" t="s">
        <v>261</v>
      </c>
      <c r="D27" s="38" t="s">
        <v>116</v>
      </c>
      <c r="E27" s="38" t="s">
        <v>117</v>
      </c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 t="s">
        <v>118</v>
      </c>
      <c r="AO27" s="38" t="s">
        <v>262</v>
      </c>
      <c r="AP27" s="38" t="s">
        <v>120</v>
      </c>
      <c r="AQ27" s="38" t="s">
        <v>121</v>
      </c>
      <c r="AR27" s="38" t="s">
        <v>263</v>
      </c>
      <c r="AS27" s="38" t="s">
        <v>123</v>
      </c>
      <c r="AT27" s="38" t="s">
        <v>124</v>
      </c>
      <c r="AU27" s="38" t="s">
        <v>125</v>
      </c>
      <c r="AV27" s="38" t="s">
        <v>264</v>
      </c>
    </row>
    <row r="28" spans="1:48" ht="17.649999999999999" customHeight="1" x14ac:dyDescent="0.55000000000000004">
      <c r="A28" s="38">
        <v>22</v>
      </c>
      <c r="B28" s="38"/>
      <c r="C28" s="38" t="s">
        <v>265</v>
      </c>
      <c r="D28" s="38" t="s">
        <v>209</v>
      </c>
      <c r="E28" s="38" t="s">
        <v>266</v>
      </c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 t="s">
        <v>211</v>
      </c>
      <c r="AO28" s="38" t="s">
        <v>167</v>
      </c>
      <c r="AP28" s="38" t="s">
        <v>212</v>
      </c>
      <c r="AQ28" s="38" t="s">
        <v>213</v>
      </c>
      <c r="AR28" s="38" t="s">
        <v>267</v>
      </c>
      <c r="AS28" s="38" t="s">
        <v>215</v>
      </c>
      <c r="AT28" s="38" t="s">
        <v>216</v>
      </c>
      <c r="AU28" s="38" t="s">
        <v>217</v>
      </c>
      <c r="AV28" s="38" t="s">
        <v>268</v>
      </c>
    </row>
    <row r="29" spans="1:48" ht="17.649999999999999" customHeight="1" x14ac:dyDescent="0.55000000000000004">
      <c r="A29" s="38">
        <v>23</v>
      </c>
      <c r="B29" s="38"/>
      <c r="C29" s="38" t="s">
        <v>269</v>
      </c>
      <c r="D29" s="38" t="s">
        <v>150</v>
      </c>
      <c r="E29" s="38" t="s">
        <v>270</v>
      </c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 t="s">
        <v>152</v>
      </c>
      <c r="AO29" s="38" t="s">
        <v>271</v>
      </c>
      <c r="AP29" s="38" t="s">
        <v>154</v>
      </c>
      <c r="AQ29" s="38" t="s">
        <v>155</v>
      </c>
      <c r="AR29" s="38" t="s">
        <v>272</v>
      </c>
      <c r="AS29" s="38" t="s">
        <v>123</v>
      </c>
      <c r="AT29" s="38" t="s">
        <v>157</v>
      </c>
      <c r="AU29" s="38" t="s">
        <v>158</v>
      </c>
      <c r="AV29" s="38" t="s">
        <v>273</v>
      </c>
    </row>
    <row r="30" spans="1:48" ht="17.649999999999999" customHeight="1" x14ac:dyDescent="0.55000000000000004">
      <c r="A30" s="38">
        <v>24</v>
      </c>
      <c r="B30" s="38"/>
      <c r="C30" s="38" t="s">
        <v>274</v>
      </c>
      <c r="D30" s="38" t="s">
        <v>220</v>
      </c>
      <c r="E30" s="38" t="s">
        <v>275</v>
      </c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 t="s">
        <v>221</v>
      </c>
      <c r="AO30" s="38" t="s">
        <v>153</v>
      </c>
      <c r="AP30" s="38" t="s">
        <v>222</v>
      </c>
      <c r="AQ30" s="38" t="s">
        <v>223</v>
      </c>
      <c r="AR30" s="38" t="s">
        <v>276</v>
      </c>
      <c r="AS30" s="38" t="s">
        <v>123</v>
      </c>
      <c r="AT30" s="38" t="s">
        <v>225</v>
      </c>
      <c r="AU30" s="38" t="s">
        <v>226</v>
      </c>
      <c r="AV30" s="38" t="s">
        <v>277</v>
      </c>
    </row>
    <row r="31" spans="1:48" ht="17.649999999999999" customHeight="1" x14ac:dyDescent="0.55000000000000004">
      <c r="A31" s="38">
        <v>25</v>
      </c>
      <c r="B31" s="38"/>
      <c r="C31" s="38" t="s">
        <v>278</v>
      </c>
      <c r="D31" s="38" t="s">
        <v>171</v>
      </c>
      <c r="E31" s="38" t="s">
        <v>172</v>
      </c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 t="s">
        <v>173</v>
      </c>
      <c r="AO31" s="38" t="s">
        <v>279</v>
      </c>
      <c r="AP31" s="38" t="s">
        <v>175</v>
      </c>
      <c r="AQ31" s="38" t="s">
        <v>176</v>
      </c>
      <c r="AR31" s="38" t="s">
        <v>280</v>
      </c>
      <c r="AS31" s="38" t="s">
        <v>178</v>
      </c>
      <c r="AT31" s="38" t="s">
        <v>179</v>
      </c>
      <c r="AU31" s="38" t="s">
        <v>180</v>
      </c>
      <c r="AV31" s="38" t="s">
        <v>281</v>
      </c>
    </row>
    <row r="32" spans="1:48" ht="17.649999999999999" customHeight="1" x14ac:dyDescent="0.55000000000000004">
      <c r="A32" s="38">
        <v>26</v>
      </c>
      <c r="B32" s="38"/>
      <c r="C32" s="38" t="s">
        <v>282</v>
      </c>
      <c r="D32" s="38" t="s">
        <v>183</v>
      </c>
      <c r="E32" s="38" t="s">
        <v>283</v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 t="s">
        <v>185</v>
      </c>
      <c r="AO32" s="38" t="s">
        <v>284</v>
      </c>
      <c r="AP32" s="38" t="s">
        <v>187</v>
      </c>
      <c r="AQ32" s="38" t="s">
        <v>188</v>
      </c>
      <c r="AR32" s="38" t="s">
        <v>285</v>
      </c>
      <c r="AS32" s="38" t="s">
        <v>123</v>
      </c>
      <c r="AT32" s="38" t="s">
        <v>190</v>
      </c>
      <c r="AU32" s="38" t="s">
        <v>191</v>
      </c>
      <c r="AV32" s="38" t="s">
        <v>286</v>
      </c>
    </row>
    <row r="33" spans="1:48" ht="17.649999999999999" customHeight="1" x14ac:dyDescent="0.55000000000000004">
      <c r="A33" s="38">
        <v>27</v>
      </c>
      <c r="B33" s="38"/>
      <c r="C33" s="38" t="s">
        <v>287</v>
      </c>
      <c r="D33" s="38" t="s">
        <v>150</v>
      </c>
      <c r="E33" s="38" t="s">
        <v>288</v>
      </c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 t="s">
        <v>152</v>
      </c>
      <c r="AO33" s="38" t="s">
        <v>162</v>
      </c>
      <c r="AP33" s="38" t="s">
        <v>154</v>
      </c>
      <c r="AQ33" s="38" t="s">
        <v>155</v>
      </c>
      <c r="AR33" s="38" t="s">
        <v>289</v>
      </c>
      <c r="AS33" s="38" t="s">
        <v>123</v>
      </c>
      <c r="AT33" s="38" t="s">
        <v>157</v>
      </c>
      <c r="AU33" s="38" t="s">
        <v>158</v>
      </c>
      <c r="AV33" s="38" t="s">
        <v>290</v>
      </c>
    </row>
    <row r="34" spans="1:48" ht="17.649999999999999" customHeight="1" x14ac:dyDescent="0.55000000000000004">
      <c r="A34" s="38">
        <v>28</v>
      </c>
      <c r="B34" s="38"/>
      <c r="C34" s="38" t="s">
        <v>291</v>
      </c>
      <c r="D34" s="38" t="s">
        <v>292</v>
      </c>
      <c r="E34" s="38" t="s">
        <v>293</v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 t="s">
        <v>294</v>
      </c>
      <c r="AO34" s="38" t="s">
        <v>195</v>
      </c>
      <c r="AP34" s="38" t="s">
        <v>295</v>
      </c>
      <c r="AQ34" s="38" t="s">
        <v>296</v>
      </c>
      <c r="AR34" s="38" t="s">
        <v>297</v>
      </c>
      <c r="AS34" s="38" t="s">
        <v>123</v>
      </c>
      <c r="AT34" s="38" t="s">
        <v>298</v>
      </c>
      <c r="AU34" s="38" t="s">
        <v>299</v>
      </c>
      <c r="AV34" s="38" t="s">
        <v>300</v>
      </c>
    </row>
    <row r="35" spans="1:48" ht="17.649999999999999" customHeight="1" x14ac:dyDescent="0.55000000000000004">
      <c r="A35" s="38">
        <v>29</v>
      </c>
      <c r="B35" s="38"/>
      <c r="C35" s="38" t="s">
        <v>301</v>
      </c>
      <c r="D35" s="38" t="s">
        <v>209</v>
      </c>
      <c r="E35" s="38" t="s">
        <v>302</v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 t="s">
        <v>211</v>
      </c>
      <c r="AO35" s="38" t="s">
        <v>303</v>
      </c>
      <c r="AP35" s="38" t="s">
        <v>212</v>
      </c>
      <c r="AQ35" s="38" t="s">
        <v>213</v>
      </c>
      <c r="AR35" s="38" t="s">
        <v>304</v>
      </c>
      <c r="AS35" s="38" t="s">
        <v>215</v>
      </c>
      <c r="AT35" s="38" t="s">
        <v>216</v>
      </c>
      <c r="AU35" s="38" t="s">
        <v>217</v>
      </c>
      <c r="AV35" s="38" t="s">
        <v>305</v>
      </c>
    </row>
    <row r="36" spans="1:48" ht="17.649999999999999" customHeight="1" x14ac:dyDescent="0.55000000000000004">
      <c r="A36" s="38">
        <v>30</v>
      </c>
      <c r="B36" s="38"/>
      <c r="C36" s="38" t="s">
        <v>306</v>
      </c>
      <c r="D36" s="38" t="s">
        <v>307</v>
      </c>
      <c r="E36" s="38" t="s">
        <v>308</v>
      </c>
      <c r="F36" s="38"/>
      <c r="G36" s="38"/>
      <c r="H36" s="38"/>
      <c r="I36" s="38"/>
      <c r="J36" s="38"/>
      <c r="K36" s="38"/>
      <c r="L36" s="38"/>
      <c r="M36" s="38"/>
      <c r="N36" s="38" t="str">
        <f>IF(AND(K36&lt;&gt;"",L36&lt;&gt;"",M36&lt;&gt;""),K36+L36+M36,"")</f>
        <v/>
      </c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 t="s">
        <v>309</v>
      </c>
      <c r="AO36" s="38" t="s">
        <v>310</v>
      </c>
      <c r="AP36" s="38" t="s">
        <v>311</v>
      </c>
      <c r="AQ36" s="38" t="s">
        <v>312</v>
      </c>
      <c r="AR36" s="38" t="s">
        <v>313</v>
      </c>
      <c r="AS36" s="38" t="s">
        <v>123</v>
      </c>
      <c r="AT36" s="38" t="s">
        <v>314</v>
      </c>
      <c r="AU36" s="38" t="s">
        <v>315</v>
      </c>
      <c r="AV36" s="38" t="s">
        <v>316</v>
      </c>
    </row>
    <row r="37" spans="1:48" ht="54" x14ac:dyDescent="0.55000000000000004">
      <c r="A37" s="38">
        <v>31</v>
      </c>
      <c r="B37" s="38"/>
      <c r="C37" s="38" t="s">
        <v>317</v>
      </c>
      <c r="D37" s="38" t="s">
        <v>183</v>
      </c>
      <c r="E37" s="38" t="s">
        <v>140</v>
      </c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 t="s">
        <v>185</v>
      </c>
      <c r="AO37" s="38" t="s">
        <v>318</v>
      </c>
      <c r="AP37" s="38" t="s">
        <v>187</v>
      </c>
      <c r="AQ37" s="38" t="s">
        <v>188</v>
      </c>
      <c r="AR37" s="38" t="s">
        <v>319</v>
      </c>
      <c r="AS37" s="38" t="s">
        <v>123</v>
      </c>
      <c r="AT37" s="38" t="s">
        <v>190</v>
      </c>
      <c r="AU37" s="38" t="s">
        <v>191</v>
      </c>
      <c r="AV37" s="38" t="s">
        <v>320</v>
      </c>
    </row>
    <row r="38" spans="1:48" ht="17.649999999999999" customHeight="1" x14ac:dyDescent="0.55000000000000004">
      <c r="A38" s="38">
        <v>32</v>
      </c>
      <c r="B38" s="38"/>
      <c r="C38" s="38" t="s">
        <v>321</v>
      </c>
      <c r="D38" s="38" t="s">
        <v>116</v>
      </c>
      <c r="E38" s="38" t="s">
        <v>322</v>
      </c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 t="s">
        <v>118</v>
      </c>
      <c r="AO38" s="38" t="s">
        <v>323</v>
      </c>
      <c r="AP38" s="38" t="s">
        <v>120</v>
      </c>
      <c r="AQ38" s="38" t="s">
        <v>121</v>
      </c>
      <c r="AR38" s="38" t="s">
        <v>324</v>
      </c>
      <c r="AS38" s="38" t="s">
        <v>123</v>
      </c>
      <c r="AT38" s="38" t="s">
        <v>124</v>
      </c>
      <c r="AU38" s="38" t="s">
        <v>125</v>
      </c>
      <c r="AV38" s="38" t="s">
        <v>325</v>
      </c>
    </row>
    <row r="39" spans="1:48" ht="17.649999999999999" customHeight="1" x14ac:dyDescent="0.55000000000000004">
      <c r="A39" s="38">
        <v>33</v>
      </c>
      <c r="B39" s="38"/>
      <c r="C39" s="38" t="s">
        <v>326</v>
      </c>
      <c r="D39" s="38" t="s">
        <v>183</v>
      </c>
      <c r="E39" s="38" t="s">
        <v>140</v>
      </c>
      <c r="F39" s="38"/>
      <c r="G39" s="38"/>
      <c r="H39" s="38"/>
      <c r="I39" s="38"/>
      <c r="J39" s="38"/>
      <c r="K39" s="38"/>
      <c r="L39" s="38"/>
      <c r="M39" s="38"/>
      <c r="N39" s="38" t="str">
        <f>IF(COUNTA(K39:M39)=0,"",SUM(K39:M39))</f>
        <v/>
      </c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 t="s">
        <v>185</v>
      </c>
      <c r="AO39" s="38" t="s">
        <v>318</v>
      </c>
      <c r="AP39" s="38" t="s">
        <v>187</v>
      </c>
      <c r="AQ39" s="38" t="s">
        <v>188</v>
      </c>
      <c r="AR39" s="38" t="s">
        <v>327</v>
      </c>
      <c r="AS39" s="38" t="s">
        <v>123</v>
      </c>
      <c r="AT39" s="38" t="s">
        <v>190</v>
      </c>
      <c r="AU39" s="38" t="s">
        <v>191</v>
      </c>
      <c r="AV39" s="38" t="s">
        <v>328</v>
      </c>
    </row>
    <row r="40" spans="1:48" ht="17.649999999999999" customHeight="1" x14ac:dyDescent="0.55000000000000004">
      <c r="A40" s="38">
        <v>34</v>
      </c>
      <c r="B40" s="38"/>
      <c r="C40" s="38" t="s">
        <v>329</v>
      </c>
      <c r="D40" s="38" t="s">
        <v>220</v>
      </c>
      <c r="E40" s="38" t="s">
        <v>275</v>
      </c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 t="s">
        <v>221</v>
      </c>
      <c r="AO40" s="38" t="s">
        <v>153</v>
      </c>
      <c r="AP40" s="38" t="s">
        <v>222</v>
      </c>
      <c r="AQ40" s="38" t="s">
        <v>223</v>
      </c>
      <c r="AR40" s="38" t="s">
        <v>330</v>
      </c>
      <c r="AS40" s="38" t="s">
        <v>123</v>
      </c>
      <c r="AT40" s="38" t="s">
        <v>225</v>
      </c>
      <c r="AU40" s="38" t="s">
        <v>226</v>
      </c>
      <c r="AV40" s="38" t="s">
        <v>331</v>
      </c>
    </row>
    <row r="41" spans="1:48" ht="17.649999999999999" customHeight="1" x14ac:dyDescent="0.55000000000000004">
      <c r="A41" s="38">
        <v>35</v>
      </c>
      <c r="B41" s="38"/>
      <c r="C41" s="38" t="s">
        <v>332</v>
      </c>
      <c r="D41" s="38" t="s">
        <v>139</v>
      </c>
      <c r="E41" s="38" t="s">
        <v>333</v>
      </c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 t="s">
        <v>141</v>
      </c>
      <c r="AO41" s="38" t="s">
        <v>318</v>
      </c>
      <c r="AP41" s="38" t="s">
        <v>143</v>
      </c>
      <c r="AQ41" s="38" t="s">
        <v>144</v>
      </c>
      <c r="AR41" s="38" t="s">
        <v>334</v>
      </c>
      <c r="AS41" s="38" t="s">
        <v>123</v>
      </c>
      <c r="AT41" s="38" t="s">
        <v>146</v>
      </c>
      <c r="AU41" s="38" t="s">
        <v>147</v>
      </c>
      <c r="AV41" s="38" t="s">
        <v>335</v>
      </c>
    </row>
    <row r="42" spans="1:48" ht="17.649999999999999" customHeight="1" x14ac:dyDescent="0.55000000000000004">
      <c r="A42" s="38">
        <v>36</v>
      </c>
      <c r="B42" s="38"/>
      <c r="C42" s="38" t="s">
        <v>336</v>
      </c>
      <c r="D42" s="38" t="s">
        <v>116</v>
      </c>
      <c r="E42" s="38" t="s">
        <v>337</v>
      </c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 t="s">
        <v>118</v>
      </c>
      <c r="AO42" s="38" t="s">
        <v>338</v>
      </c>
      <c r="AP42" s="38" t="s">
        <v>120</v>
      </c>
      <c r="AQ42" s="38" t="s">
        <v>121</v>
      </c>
      <c r="AR42" s="38" t="s">
        <v>339</v>
      </c>
      <c r="AS42" s="38" t="s">
        <v>123</v>
      </c>
      <c r="AT42" s="38" t="s">
        <v>124</v>
      </c>
      <c r="AU42" s="38" t="s">
        <v>125</v>
      </c>
      <c r="AV42" s="38" t="s">
        <v>340</v>
      </c>
    </row>
    <row r="43" spans="1:48" ht="17.649999999999999" customHeight="1" x14ac:dyDescent="0.55000000000000004">
      <c r="A43" s="38">
        <v>37</v>
      </c>
      <c r="B43" s="38"/>
      <c r="C43" s="38" t="s">
        <v>341</v>
      </c>
      <c r="D43" s="38" t="s">
        <v>128</v>
      </c>
      <c r="E43" s="38" t="s">
        <v>129</v>
      </c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 t="s">
        <v>130</v>
      </c>
      <c r="AO43" s="38" t="s">
        <v>342</v>
      </c>
      <c r="AP43" s="38" t="s">
        <v>132</v>
      </c>
      <c r="AQ43" s="38" t="s">
        <v>133</v>
      </c>
      <c r="AR43" s="38" t="s">
        <v>343</v>
      </c>
      <c r="AS43" s="38" t="s">
        <v>123</v>
      </c>
      <c r="AT43" s="38" t="s">
        <v>135</v>
      </c>
      <c r="AU43" s="38" t="s">
        <v>136</v>
      </c>
      <c r="AV43" s="38" t="s">
        <v>344</v>
      </c>
    </row>
    <row r="44" spans="1:48" ht="17.649999999999999" customHeight="1" x14ac:dyDescent="0.55000000000000004">
      <c r="A44" s="38">
        <v>38</v>
      </c>
      <c r="B44" s="38"/>
      <c r="C44" s="38" t="s">
        <v>345</v>
      </c>
      <c r="D44" s="38" t="s">
        <v>251</v>
      </c>
      <c r="E44" s="38" t="s">
        <v>346</v>
      </c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 t="s">
        <v>253</v>
      </c>
      <c r="AO44" s="38" t="s">
        <v>347</v>
      </c>
      <c r="AP44" s="38" t="s">
        <v>255</v>
      </c>
      <c r="AQ44" s="38" t="s">
        <v>256</v>
      </c>
      <c r="AR44" s="38" t="s">
        <v>348</v>
      </c>
      <c r="AS44" s="38" t="s">
        <v>123</v>
      </c>
      <c r="AT44" s="38" t="s">
        <v>258</v>
      </c>
      <c r="AU44" s="38" t="s">
        <v>259</v>
      </c>
      <c r="AV44" s="38" t="s">
        <v>349</v>
      </c>
    </row>
    <row r="45" spans="1:48" ht="17.649999999999999" customHeight="1" x14ac:dyDescent="0.55000000000000004">
      <c r="A45" s="38">
        <v>39</v>
      </c>
      <c r="B45" s="38"/>
      <c r="C45" s="38" t="s">
        <v>350</v>
      </c>
      <c r="D45" s="38" t="s">
        <v>139</v>
      </c>
      <c r="E45" s="38" t="s">
        <v>351</v>
      </c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 t="s">
        <v>141</v>
      </c>
      <c r="AO45" s="38" t="s">
        <v>352</v>
      </c>
      <c r="AP45" s="38" t="s">
        <v>143</v>
      </c>
      <c r="AQ45" s="38" t="s">
        <v>144</v>
      </c>
      <c r="AR45" s="38" t="s">
        <v>353</v>
      </c>
      <c r="AS45" s="38" t="s">
        <v>123</v>
      </c>
      <c r="AT45" s="38" t="s">
        <v>146</v>
      </c>
      <c r="AU45" s="38" t="s">
        <v>147</v>
      </c>
      <c r="AV45" s="38" t="s">
        <v>354</v>
      </c>
    </row>
    <row r="46" spans="1:48" ht="17.649999999999999" customHeight="1" x14ac:dyDescent="0.55000000000000004">
      <c r="A46" s="38">
        <v>40</v>
      </c>
      <c r="B46" s="38"/>
      <c r="C46" s="38" t="s">
        <v>355</v>
      </c>
      <c r="D46" s="38" t="s">
        <v>139</v>
      </c>
      <c r="E46" s="38" t="s">
        <v>356</v>
      </c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 t="s">
        <v>141</v>
      </c>
      <c r="AO46" s="38" t="s">
        <v>357</v>
      </c>
      <c r="AP46" s="38" t="s">
        <v>143</v>
      </c>
      <c r="AQ46" s="38" t="s">
        <v>144</v>
      </c>
      <c r="AR46" s="38" t="s">
        <v>358</v>
      </c>
      <c r="AS46" s="38" t="s">
        <v>123</v>
      </c>
      <c r="AT46" s="38" t="s">
        <v>146</v>
      </c>
      <c r="AU46" s="38" t="s">
        <v>147</v>
      </c>
      <c r="AV46" s="38" t="s">
        <v>359</v>
      </c>
    </row>
    <row r="47" spans="1:48" ht="17.649999999999999" customHeight="1" x14ac:dyDescent="0.55000000000000004">
      <c r="A47" s="38">
        <v>41</v>
      </c>
      <c r="B47" s="38"/>
      <c r="C47" s="38" t="s">
        <v>360</v>
      </c>
      <c r="D47" s="38" t="s">
        <v>361</v>
      </c>
      <c r="E47" s="38" t="s">
        <v>362</v>
      </c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 t="s">
        <v>363</v>
      </c>
      <c r="AO47" s="38" t="s">
        <v>364</v>
      </c>
      <c r="AP47" s="38" t="s">
        <v>365</v>
      </c>
      <c r="AQ47" s="38" t="s">
        <v>366</v>
      </c>
      <c r="AR47" s="38" t="s">
        <v>367</v>
      </c>
      <c r="AS47" s="38" t="s">
        <v>123</v>
      </c>
      <c r="AT47" s="38" t="s">
        <v>368</v>
      </c>
      <c r="AU47" s="38" t="s">
        <v>369</v>
      </c>
      <c r="AV47" s="38" t="s">
        <v>370</v>
      </c>
    </row>
    <row r="48" spans="1:48" ht="17.649999999999999" customHeight="1" x14ac:dyDescent="0.55000000000000004">
      <c r="A48" s="38">
        <v>42</v>
      </c>
      <c r="B48" s="38"/>
      <c r="C48" s="38" t="s">
        <v>371</v>
      </c>
      <c r="D48" s="38" t="s">
        <v>139</v>
      </c>
      <c r="E48" s="38" t="s">
        <v>372</v>
      </c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 t="s">
        <v>141</v>
      </c>
      <c r="AO48" s="38" t="s">
        <v>318</v>
      </c>
      <c r="AP48" s="38" t="s">
        <v>143</v>
      </c>
      <c r="AQ48" s="38" t="s">
        <v>144</v>
      </c>
      <c r="AR48" s="38" t="s">
        <v>373</v>
      </c>
      <c r="AS48" s="38" t="s">
        <v>123</v>
      </c>
      <c r="AT48" s="38" t="s">
        <v>146</v>
      </c>
      <c r="AU48" s="38" t="s">
        <v>147</v>
      </c>
      <c r="AV48" s="38" t="s">
        <v>374</v>
      </c>
    </row>
    <row r="49" spans="1:48" ht="17.649999999999999" customHeight="1" x14ac:dyDescent="0.55000000000000004">
      <c r="A49" s="38">
        <v>43</v>
      </c>
      <c r="B49" s="38"/>
      <c r="C49" s="38" t="s">
        <v>375</v>
      </c>
      <c r="D49" s="38" t="s">
        <v>116</v>
      </c>
      <c r="E49" s="38" t="s">
        <v>322</v>
      </c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 t="s">
        <v>118</v>
      </c>
      <c r="AO49" s="38" t="s">
        <v>376</v>
      </c>
      <c r="AP49" s="38" t="s">
        <v>120</v>
      </c>
      <c r="AQ49" s="38" t="s">
        <v>121</v>
      </c>
      <c r="AR49" s="38" t="s">
        <v>377</v>
      </c>
      <c r="AS49" s="38" t="s">
        <v>123</v>
      </c>
      <c r="AT49" s="38" t="s">
        <v>124</v>
      </c>
      <c r="AU49" s="38" t="s">
        <v>125</v>
      </c>
      <c r="AV49" s="38" t="s">
        <v>378</v>
      </c>
    </row>
    <row r="50" spans="1:48" ht="26.4" customHeight="1" x14ac:dyDescent="0.55000000000000004">
      <c r="A50" s="38">
        <v>44</v>
      </c>
      <c r="B50" s="38"/>
      <c r="C50" s="38" t="s">
        <v>379</v>
      </c>
      <c r="D50" s="38" t="s">
        <v>183</v>
      </c>
      <c r="E50" s="38" t="s">
        <v>380</v>
      </c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 t="s">
        <v>185</v>
      </c>
      <c r="AO50" s="38" t="s">
        <v>153</v>
      </c>
      <c r="AP50" s="38" t="s">
        <v>187</v>
      </c>
      <c r="AQ50" s="38" t="s">
        <v>188</v>
      </c>
      <c r="AR50" s="38" t="s">
        <v>381</v>
      </c>
      <c r="AS50" s="38" t="s">
        <v>123</v>
      </c>
      <c r="AT50" s="38" t="s">
        <v>190</v>
      </c>
      <c r="AU50" s="38" t="s">
        <v>191</v>
      </c>
      <c r="AV50" s="38" t="s">
        <v>382</v>
      </c>
    </row>
    <row r="51" spans="1:48" ht="17.649999999999999" customHeight="1" x14ac:dyDescent="0.55000000000000004">
      <c r="A51" s="38">
        <v>45</v>
      </c>
      <c r="B51" s="38"/>
      <c r="C51" s="38" t="s">
        <v>383</v>
      </c>
      <c r="D51" s="38" t="s">
        <v>361</v>
      </c>
      <c r="E51" s="38" t="s">
        <v>384</v>
      </c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 t="s">
        <v>363</v>
      </c>
      <c r="AO51" s="38" t="s">
        <v>385</v>
      </c>
      <c r="AP51" s="38" t="s">
        <v>365</v>
      </c>
      <c r="AQ51" s="38" t="s">
        <v>366</v>
      </c>
      <c r="AR51" s="38" t="s">
        <v>386</v>
      </c>
      <c r="AS51" s="38" t="s">
        <v>123</v>
      </c>
      <c r="AT51" s="38" t="s">
        <v>368</v>
      </c>
      <c r="AU51" s="38" t="s">
        <v>369</v>
      </c>
      <c r="AV51" s="38" t="s">
        <v>387</v>
      </c>
    </row>
    <row r="52" spans="1:48" ht="17.649999999999999" customHeight="1" x14ac:dyDescent="0.55000000000000004">
      <c r="A52" s="38">
        <v>46</v>
      </c>
      <c r="B52" s="38"/>
      <c r="C52" s="38" t="s">
        <v>388</v>
      </c>
      <c r="D52" s="38" t="s">
        <v>292</v>
      </c>
      <c r="E52" s="38" t="s">
        <v>389</v>
      </c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 t="s">
        <v>294</v>
      </c>
      <c r="AO52" s="38" t="s">
        <v>390</v>
      </c>
      <c r="AP52" s="38" t="s">
        <v>295</v>
      </c>
      <c r="AQ52" s="38" t="s">
        <v>296</v>
      </c>
      <c r="AR52" s="38" t="s">
        <v>391</v>
      </c>
      <c r="AS52" s="38" t="s">
        <v>123</v>
      </c>
      <c r="AT52" s="38" t="s">
        <v>298</v>
      </c>
      <c r="AU52" s="38" t="s">
        <v>299</v>
      </c>
      <c r="AV52" s="38" t="s">
        <v>392</v>
      </c>
    </row>
    <row r="53" spans="1:48" ht="17.649999999999999" customHeight="1" x14ac:dyDescent="0.55000000000000004">
      <c r="A53" s="38">
        <v>47</v>
      </c>
      <c r="B53" s="38"/>
      <c r="C53" s="38" t="s">
        <v>393</v>
      </c>
      <c r="D53" s="38" t="s">
        <v>116</v>
      </c>
      <c r="E53" s="38" t="s">
        <v>337</v>
      </c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 t="s">
        <v>118</v>
      </c>
      <c r="AO53" s="38" t="s">
        <v>394</v>
      </c>
      <c r="AP53" s="38" t="s">
        <v>120</v>
      </c>
      <c r="AQ53" s="38" t="s">
        <v>121</v>
      </c>
      <c r="AR53" s="38" t="s">
        <v>395</v>
      </c>
      <c r="AS53" s="38" t="s">
        <v>123</v>
      </c>
      <c r="AT53" s="38" t="s">
        <v>124</v>
      </c>
      <c r="AU53" s="38" t="s">
        <v>125</v>
      </c>
      <c r="AV53" s="38" t="s">
        <v>396</v>
      </c>
    </row>
    <row r="54" spans="1:48" ht="17.649999999999999" customHeight="1" x14ac:dyDescent="0.55000000000000004">
      <c r="A54" s="38">
        <v>48</v>
      </c>
      <c r="B54" s="38"/>
      <c r="C54" s="38" t="s">
        <v>397</v>
      </c>
      <c r="D54" s="38" t="s">
        <v>139</v>
      </c>
      <c r="E54" s="38" t="s">
        <v>398</v>
      </c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 t="s">
        <v>141</v>
      </c>
      <c r="AO54" s="38" t="s">
        <v>318</v>
      </c>
      <c r="AP54" s="38" t="s">
        <v>143</v>
      </c>
      <c r="AQ54" s="38" t="s">
        <v>144</v>
      </c>
      <c r="AR54" s="38" t="s">
        <v>399</v>
      </c>
      <c r="AS54" s="38" t="s">
        <v>123</v>
      </c>
      <c r="AT54" s="38" t="s">
        <v>146</v>
      </c>
      <c r="AU54" s="38" t="s">
        <v>147</v>
      </c>
      <c r="AV54" s="38" t="s">
        <v>400</v>
      </c>
    </row>
    <row r="55" spans="1:48" ht="17.649999999999999" customHeight="1" x14ac:dyDescent="0.55000000000000004">
      <c r="A55" s="38">
        <v>49</v>
      </c>
      <c r="B55" s="38"/>
      <c r="C55" s="38" t="s">
        <v>401</v>
      </c>
      <c r="D55" s="38" t="s">
        <v>128</v>
      </c>
      <c r="E55" s="38" t="s">
        <v>402</v>
      </c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 t="s">
        <v>130</v>
      </c>
      <c r="AO55" s="38" t="s">
        <v>403</v>
      </c>
      <c r="AP55" s="38" t="s">
        <v>132</v>
      </c>
      <c r="AQ55" s="38" t="s">
        <v>133</v>
      </c>
      <c r="AR55" s="38" t="s">
        <v>404</v>
      </c>
      <c r="AS55" s="38" t="s">
        <v>123</v>
      </c>
      <c r="AT55" s="38" t="s">
        <v>135</v>
      </c>
      <c r="AU55" s="38" t="s">
        <v>136</v>
      </c>
      <c r="AV55" s="38" t="s">
        <v>405</v>
      </c>
    </row>
    <row r="56" spans="1:48" ht="17.649999999999999" customHeight="1" x14ac:dyDescent="0.55000000000000004">
      <c r="A56" s="38">
        <v>50</v>
      </c>
      <c r="B56" s="38"/>
      <c r="C56" s="38" t="s">
        <v>406</v>
      </c>
      <c r="D56" s="38" t="s">
        <v>116</v>
      </c>
      <c r="E56" s="38" t="s">
        <v>337</v>
      </c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 t="s">
        <v>118</v>
      </c>
      <c r="AO56" s="38" t="s">
        <v>195</v>
      </c>
      <c r="AP56" s="38" t="s">
        <v>120</v>
      </c>
      <c r="AQ56" s="38" t="s">
        <v>121</v>
      </c>
      <c r="AR56" s="38" t="s">
        <v>407</v>
      </c>
      <c r="AS56" s="38" t="s">
        <v>123</v>
      </c>
      <c r="AT56" s="38" t="s">
        <v>124</v>
      </c>
      <c r="AU56" s="38" t="s">
        <v>125</v>
      </c>
      <c r="AV56" s="38" t="s">
        <v>408</v>
      </c>
    </row>
    <row r="57" spans="1:48" ht="17.649999999999999" customHeight="1" x14ac:dyDescent="0.55000000000000004">
      <c r="A57" s="38">
        <v>51</v>
      </c>
      <c r="B57" s="38"/>
      <c r="C57" s="38" t="s">
        <v>409</v>
      </c>
      <c r="D57" s="38" t="s">
        <v>361</v>
      </c>
      <c r="E57" s="38" t="s">
        <v>410</v>
      </c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 t="s">
        <v>363</v>
      </c>
      <c r="AO57" s="38" t="s">
        <v>262</v>
      </c>
      <c r="AP57" s="38" t="s">
        <v>365</v>
      </c>
      <c r="AQ57" s="38" t="s">
        <v>366</v>
      </c>
      <c r="AR57" s="38" t="s">
        <v>411</v>
      </c>
      <c r="AS57" s="38" t="s">
        <v>123</v>
      </c>
      <c r="AT57" s="38" t="s">
        <v>368</v>
      </c>
      <c r="AU57" s="38" t="s">
        <v>369</v>
      </c>
      <c r="AV57" s="38" t="s">
        <v>412</v>
      </c>
    </row>
    <row r="58" spans="1:48" ht="17.649999999999999" customHeight="1" x14ac:dyDescent="0.55000000000000004">
      <c r="A58" s="38">
        <v>52</v>
      </c>
      <c r="B58" s="38"/>
      <c r="C58" s="38" t="s">
        <v>413</v>
      </c>
      <c r="D58" s="38" t="s">
        <v>183</v>
      </c>
      <c r="E58" s="38" t="s">
        <v>380</v>
      </c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 t="s">
        <v>185</v>
      </c>
      <c r="AO58" s="38" t="s">
        <v>153</v>
      </c>
      <c r="AP58" s="38" t="s">
        <v>187</v>
      </c>
      <c r="AQ58" s="38" t="s">
        <v>188</v>
      </c>
      <c r="AR58" s="38" t="s">
        <v>414</v>
      </c>
      <c r="AS58" s="38" t="s">
        <v>123</v>
      </c>
      <c r="AT58" s="38" t="s">
        <v>190</v>
      </c>
      <c r="AU58" s="38" t="s">
        <v>191</v>
      </c>
      <c r="AV58" s="38" t="s">
        <v>415</v>
      </c>
    </row>
    <row r="59" spans="1:48" ht="17.649999999999999" customHeight="1" x14ac:dyDescent="0.55000000000000004">
      <c r="A59" s="38">
        <v>53</v>
      </c>
      <c r="B59" s="38"/>
      <c r="C59" s="38" t="s">
        <v>416</v>
      </c>
      <c r="D59" s="38" t="s">
        <v>128</v>
      </c>
      <c r="E59" s="38" t="s">
        <v>129</v>
      </c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 t="s">
        <v>130</v>
      </c>
      <c r="AO59" s="38" t="s">
        <v>417</v>
      </c>
      <c r="AP59" s="38" t="s">
        <v>132</v>
      </c>
      <c r="AQ59" s="38" t="s">
        <v>133</v>
      </c>
      <c r="AR59" s="38" t="s">
        <v>418</v>
      </c>
      <c r="AS59" s="38" t="s">
        <v>123</v>
      </c>
      <c r="AT59" s="38" t="s">
        <v>135</v>
      </c>
      <c r="AU59" s="38" t="s">
        <v>136</v>
      </c>
      <c r="AV59" s="38" t="s">
        <v>419</v>
      </c>
    </row>
    <row r="60" spans="1:48" ht="17.649999999999999" customHeight="1" x14ac:dyDescent="0.55000000000000004">
      <c r="A60" s="38">
        <v>54</v>
      </c>
      <c r="B60" s="38"/>
      <c r="C60" s="38" t="s">
        <v>420</v>
      </c>
      <c r="D60" s="38" t="s">
        <v>139</v>
      </c>
      <c r="E60" s="38" t="s">
        <v>372</v>
      </c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 t="s">
        <v>141</v>
      </c>
      <c r="AO60" s="38" t="s">
        <v>421</v>
      </c>
      <c r="AP60" s="38" t="s">
        <v>143</v>
      </c>
      <c r="AQ60" s="38" t="s">
        <v>144</v>
      </c>
      <c r="AR60" s="38" t="s">
        <v>422</v>
      </c>
      <c r="AS60" s="38" t="s">
        <v>123</v>
      </c>
      <c r="AT60" s="38" t="s">
        <v>146</v>
      </c>
      <c r="AU60" s="38" t="s">
        <v>147</v>
      </c>
      <c r="AV60" s="38" t="s">
        <v>423</v>
      </c>
    </row>
    <row r="61" spans="1:48" ht="17.649999999999999" customHeight="1" x14ac:dyDescent="0.55000000000000004">
      <c r="A61" s="38">
        <v>55</v>
      </c>
      <c r="B61" s="38"/>
      <c r="C61" s="38" t="s">
        <v>424</v>
      </c>
      <c r="D61" s="38" t="s">
        <v>425</v>
      </c>
      <c r="E61" s="38" t="s">
        <v>426</v>
      </c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 t="s">
        <v>427</v>
      </c>
      <c r="AO61" s="38" t="s">
        <v>428</v>
      </c>
      <c r="AP61" s="38" t="s">
        <v>429</v>
      </c>
      <c r="AQ61" s="38" t="s">
        <v>430</v>
      </c>
      <c r="AR61" s="38" t="s">
        <v>431</v>
      </c>
      <c r="AS61" s="38" t="s">
        <v>123</v>
      </c>
      <c r="AT61" s="38" t="s">
        <v>432</v>
      </c>
      <c r="AU61" s="38" t="s">
        <v>433</v>
      </c>
      <c r="AV61" s="38" t="s">
        <v>434</v>
      </c>
    </row>
    <row r="62" spans="1:48" ht="17.649999999999999" customHeight="1" x14ac:dyDescent="0.55000000000000004">
      <c r="A62" s="38">
        <v>56</v>
      </c>
      <c r="B62" s="38"/>
      <c r="C62" s="38" t="s">
        <v>435</v>
      </c>
      <c r="D62" s="38" t="s">
        <v>139</v>
      </c>
      <c r="E62" s="38" t="s">
        <v>372</v>
      </c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 t="s">
        <v>141</v>
      </c>
      <c r="AO62" s="38" t="s">
        <v>318</v>
      </c>
      <c r="AP62" s="38" t="s">
        <v>143</v>
      </c>
      <c r="AQ62" s="38" t="s">
        <v>144</v>
      </c>
      <c r="AR62" s="38" t="s">
        <v>436</v>
      </c>
      <c r="AS62" s="38" t="s">
        <v>123</v>
      </c>
      <c r="AT62" s="38" t="s">
        <v>146</v>
      </c>
      <c r="AU62" s="38" t="s">
        <v>147</v>
      </c>
      <c r="AV62" s="38" t="s">
        <v>437</v>
      </c>
    </row>
    <row r="63" spans="1:48" ht="17.649999999999999" customHeight="1" x14ac:dyDescent="0.55000000000000004">
      <c r="A63" s="38">
        <v>57</v>
      </c>
      <c r="B63" s="38"/>
      <c r="C63" s="38" t="s">
        <v>438</v>
      </c>
      <c r="D63" s="38" t="s">
        <v>150</v>
      </c>
      <c r="E63" s="38" t="s">
        <v>439</v>
      </c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 t="s">
        <v>152</v>
      </c>
      <c r="AO63" s="38" t="s">
        <v>440</v>
      </c>
      <c r="AP63" s="38" t="s">
        <v>154</v>
      </c>
      <c r="AQ63" s="38" t="s">
        <v>155</v>
      </c>
      <c r="AR63" s="38" t="s">
        <v>441</v>
      </c>
      <c r="AS63" s="38" t="s">
        <v>123</v>
      </c>
      <c r="AT63" s="38" t="s">
        <v>157</v>
      </c>
      <c r="AU63" s="38" t="s">
        <v>158</v>
      </c>
      <c r="AV63" s="38" t="s">
        <v>442</v>
      </c>
    </row>
    <row r="64" spans="1:48" ht="17.649999999999999" customHeight="1" x14ac:dyDescent="0.55000000000000004">
      <c r="A64" s="38">
        <v>58</v>
      </c>
      <c r="B64" s="38"/>
      <c r="C64" s="38" t="s">
        <v>443</v>
      </c>
      <c r="D64" s="38" t="s">
        <v>251</v>
      </c>
      <c r="E64" s="38" t="s">
        <v>444</v>
      </c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 t="s">
        <v>253</v>
      </c>
      <c r="AO64" s="38" t="s">
        <v>445</v>
      </c>
      <c r="AP64" s="38" t="s">
        <v>255</v>
      </c>
      <c r="AQ64" s="38" t="s">
        <v>256</v>
      </c>
      <c r="AR64" s="38" t="s">
        <v>446</v>
      </c>
      <c r="AS64" s="38" t="s">
        <v>123</v>
      </c>
      <c r="AT64" s="38" t="s">
        <v>258</v>
      </c>
      <c r="AU64" s="38" t="s">
        <v>259</v>
      </c>
      <c r="AV64" s="38" t="s">
        <v>447</v>
      </c>
    </row>
    <row r="65" spans="1:48" ht="17.649999999999999" customHeight="1" x14ac:dyDescent="0.55000000000000004">
      <c r="A65" s="38">
        <v>59</v>
      </c>
      <c r="B65" s="38"/>
      <c r="C65" s="38" t="s">
        <v>448</v>
      </c>
      <c r="D65" s="38" t="s">
        <v>220</v>
      </c>
      <c r="E65" s="38" t="s">
        <v>449</v>
      </c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 t="s">
        <v>221</v>
      </c>
      <c r="AO65" s="38" t="s">
        <v>450</v>
      </c>
      <c r="AP65" s="38" t="s">
        <v>222</v>
      </c>
      <c r="AQ65" s="38" t="s">
        <v>223</v>
      </c>
      <c r="AR65" s="38" t="s">
        <v>451</v>
      </c>
      <c r="AS65" s="38" t="s">
        <v>123</v>
      </c>
      <c r="AT65" s="38" t="s">
        <v>225</v>
      </c>
      <c r="AU65" s="38" t="s">
        <v>226</v>
      </c>
      <c r="AV65" s="38" t="s">
        <v>452</v>
      </c>
    </row>
    <row r="66" spans="1:48" ht="17.649999999999999" customHeight="1" x14ac:dyDescent="0.55000000000000004">
      <c r="A66" s="38">
        <v>60</v>
      </c>
      <c r="B66" s="38"/>
      <c r="C66" s="38" t="s">
        <v>453</v>
      </c>
      <c r="D66" s="38" t="s">
        <v>361</v>
      </c>
      <c r="E66" s="38" t="s">
        <v>454</v>
      </c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 t="s">
        <v>363</v>
      </c>
      <c r="AO66" s="38" t="s">
        <v>455</v>
      </c>
      <c r="AP66" s="38" t="s">
        <v>365</v>
      </c>
      <c r="AQ66" s="38" t="s">
        <v>366</v>
      </c>
      <c r="AR66" s="38" t="s">
        <v>456</v>
      </c>
      <c r="AS66" s="38" t="s">
        <v>123</v>
      </c>
      <c r="AT66" s="38" t="s">
        <v>368</v>
      </c>
      <c r="AU66" s="38" t="s">
        <v>369</v>
      </c>
      <c r="AV66" s="38" t="s">
        <v>457</v>
      </c>
    </row>
    <row r="67" spans="1:48" ht="17.649999999999999" customHeight="1" x14ac:dyDescent="0.55000000000000004">
      <c r="A67" s="38">
        <v>61</v>
      </c>
      <c r="B67" s="38"/>
      <c r="C67" s="38" t="s">
        <v>458</v>
      </c>
      <c r="D67" s="38" t="s">
        <v>116</v>
      </c>
      <c r="E67" s="38" t="s">
        <v>337</v>
      </c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 t="s">
        <v>118</v>
      </c>
      <c r="AO67" s="38" t="s">
        <v>262</v>
      </c>
      <c r="AP67" s="38" t="s">
        <v>120</v>
      </c>
      <c r="AQ67" s="38" t="s">
        <v>121</v>
      </c>
      <c r="AR67" s="38" t="s">
        <v>459</v>
      </c>
      <c r="AS67" s="38" t="s">
        <v>123</v>
      </c>
      <c r="AT67" s="38" t="s">
        <v>124</v>
      </c>
      <c r="AU67" s="38" t="s">
        <v>125</v>
      </c>
      <c r="AV67" s="38" t="s">
        <v>460</v>
      </c>
    </row>
    <row r="68" spans="1:48" ht="17.649999999999999" customHeight="1" x14ac:dyDescent="0.55000000000000004">
      <c r="A68" s="38">
        <v>62</v>
      </c>
      <c r="B68" s="38"/>
      <c r="C68" s="38" t="s">
        <v>461</v>
      </c>
      <c r="D68" s="38" t="s">
        <v>128</v>
      </c>
      <c r="E68" s="38" t="s">
        <v>129</v>
      </c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 t="s">
        <v>130</v>
      </c>
      <c r="AO68" s="38" t="s">
        <v>342</v>
      </c>
      <c r="AP68" s="38" t="s">
        <v>132</v>
      </c>
      <c r="AQ68" s="38" t="s">
        <v>133</v>
      </c>
      <c r="AR68" s="38" t="s">
        <v>462</v>
      </c>
      <c r="AS68" s="38" t="s">
        <v>123</v>
      </c>
      <c r="AT68" s="38" t="s">
        <v>135</v>
      </c>
      <c r="AU68" s="38" t="s">
        <v>136</v>
      </c>
      <c r="AV68" s="38" t="s">
        <v>463</v>
      </c>
    </row>
    <row r="69" spans="1:48" ht="17.649999999999999" customHeight="1" x14ac:dyDescent="0.55000000000000004">
      <c r="A69" s="38">
        <v>63</v>
      </c>
      <c r="B69" s="38"/>
      <c r="C69" s="38" t="s">
        <v>464</v>
      </c>
      <c r="D69" s="38" t="s">
        <v>139</v>
      </c>
      <c r="E69" s="38" t="s">
        <v>372</v>
      </c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 t="s">
        <v>141</v>
      </c>
      <c r="AO69" s="38" t="s">
        <v>318</v>
      </c>
      <c r="AP69" s="38" t="s">
        <v>143</v>
      </c>
      <c r="AQ69" s="38" t="s">
        <v>144</v>
      </c>
      <c r="AR69" s="38" t="s">
        <v>465</v>
      </c>
      <c r="AS69" s="38" t="s">
        <v>123</v>
      </c>
      <c r="AT69" s="38" t="s">
        <v>146</v>
      </c>
      <c r="AU69" s="38" t="s">
        <v>147</v>
      </c>
      <c r="AV69" s="38" t="s">
        <v>466</v>
      </c>
    </row>
    <row r="70" spans="1:48" ht="17.649999999999999" customHeight="1" x14ac:dyDescent="0.55000000000000004">
      <c r="A70" s="38">
        <v>64</v>
      </c>
      <c r="B70" s="38"/>
      <c r="C70" s="38" t="s">
        <v>467</v>
      </c>
      <c r="D70" s="38" t="s">
        <v>425</v>
      </c>
      <c r="E70" s="38" t="s">
        <v>468</v>
      </c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 t="s">
        <v>427</v>
      </c>
      <c r="AO70" s="38" t="s">
        <v>153</v>
      </c>
      <c r="AP70" s="38" t="s">
        <v>429</v>
      </c>
      <c r="AQ70" s="38" t="s">
        <v>430</v>
      </c>
      <c r="AR70" s="38" t="s">
        <v>469</v>
      </c>
      <c r="AS70" s="38" t="s">
        <v>123</v>
      </c>
      <c r="AT70" s="38" t="s">
        <v>432</v>
      </c>
      <c r="AU70" s="38" t="s">
        <v>433</v>
      </c>
      <c r="AV70" s="38" t="s">
        <v>470</v>
      </c>
    </row>
    <row r="71" spans="1:48" ht="17.649999999999999" customHeight="1" x14ac:dyDescent="0.55000000000000004">
      <c r="A71" s="38">
        <v>65</v>
      </c>
      <c r="B71" s="38"/>
      <c r="C71" s="38" t="s">
        <v>471</v>
      </c>
      <c r="D71" s="38" t="s">
        <v>361</v>
      </c>
      <c r="E71" s="38" t="s">
        <v>472</v>
      </c>
      <c r="F71" s="38"/>
      <c r="G71" s="38"/>
      <c r="H71" s="38"/>
      <c r="I71" s="38"/>
      <c r="J71" s="38"/>
      <c r="K71" s="38"/>
      <c r="L71" s="38"/>
      <c r="M71" s="38"/>
      <c r="N71" s="38" t="str">
        <f>IF(COUNTA(K71:M71)=0,"",SUM(K71:M71))</f>
        <v/>
      </c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 t="s">
        <v>363</v>
      </c>
      <c r="AO71" s="38" t="s">
        <v>473</v>
      </c>
      <c r="AP71" s="38" t="s">
        <v>365</v>
      </c>
      <c r="AQ71" s="38" t="s">
        <v>366</v>
      </c>
      <c r="AR71" s="38" t="s">
        <v>474</v>
      </c>
      <c r="AS71" s="38" t="s">
        <v>123</v>
      </c>
      <c r="AT71" s="38" t="s">
        <v>368</v>
      </c>
      <c r="AU71" s="38" t="s">
        <v>369</v>
      </c>
      <c r="AV71" s="38" t="s">
        <v>475</v>
      </c>
    </row>
    <row r="72" spans="1:48" ht="17.649999999999999" customHeight="1" x14ac:dyDescent="0.55000000000000004">
      <c r="A72" s="38">
        <v>66</v>
      </c>
      <c r="B72" s="38"/>
      <c r="C72" s="38" t="s">
        <v>476</v>
      </c>
      <c r="D72" s="38" t="s">
        <v>425</v>
      </c>
      <c r="E72" s="38" t="s">
        <v>477</v>
      </c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 t="s">
        <v>427</v>
      </c>
      <c r="AO72" s="38" t="s">
        <v>338</v>
      </c>
      <c r="AP72" s="38" t="s">
        <v>429</v>
      </c>
      <c r="AQ72" s="38" t="s">
        <v>430</v>
      </c>
      <c r="AR72" s="38" t="s">
        <v>478</v>
      </c>
      <c r="AS72" s="38" t="s">
        <v>123</v>
      </c>
      <c r="AT72" s="38" t="s">
        <v>432</v>
      </c>
      <c r="AU72" s="38" t="s">
        <v>433</v>
      </c>
      <c r="AV72" s="38" t="s">
        <v>479</v>
      </c>
    </row>
    <row r="73" spans="1:48" ht="17.649999999999999" customHeight="1" x14ac:dyDescent="0.55000000000000004">
      <c r="A73" s="38">
        <v>67</v>
      </c>
      <c r="B73" s="38"/>
      <c r="C73" s="38" t="s">
        <v>480</v>
      </c>
      <c r="D73" s="38" t="s">
        <v>139</v>
      </c>
      <c r="E73" s="38" t="s">
        <v>333</v>
      </c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 t="s">
        <v>141</v>
      </c>
      <c r="AO73" s="38" t="s">
        <v>318</v>
      </c>
      <c r="AP73" s="38" t="s">
        <v>143</v>
      </c>
      <c r="AQ73" s="38" t="s">
        <v>144</v>
      </c>
      <c r="AR73" s="38" t="s">
        <v>481</v>
      </c>
      <c r="AS73" s="38" t="s">
        <v>123</v>
      </c>
      <c r="AT73" s="38" t="s">
        <v>146</v>
      </c>
      <c r="AU73" s="38" t="s">
        <v>147</v>
      </c>
      <c r="AV73" s="38" t="s">
        <v>482</v>
      </c>
    </row>
    <row r="74" spans="1:48" ht="17.649999999999999" customHeight="1" x14ac:dyDescent="0.55000000000000004">
      <c r="A74" s="38">
        <v>68</v>
      </c>
      <c r="B74" s="38"/>
      <c r="C74" s="38" t="s">
        <v>483</v>
      </c>
      <c r="D74" s="38" t="s">
        <v>425</v>
      </c>
      <c r="E74" s="38" t="s">
        <v>484</v>
      </c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 t="s">
        <v>427</v>
      </c>
      <c r="AO74" s="38" t="s">
        <v>162</v>
      </c>
      <c r="AP74" s="38" t="s">
        <v>429</v>
      </c>
      <c r="AQ74" s="38" t="s">
        <v>430</v>
      </c>
      <c r="AR74" s="38" t="s">
        <v>485</v>
      </c>
      <c r="AS74" s="38" t="s">
        <v>123</v>
      </c>
      <c r="AT74" s="38" t="s">
        <v>432</v>
      </c>
      <c r="AU74" s="38" t="s">
        <v>433</v>
      </c>
      <c r="AV74" s="38" t="s">
        <v>486</v>
      </c>
    </row>
    <row r="75" spans="1:48" ht="17.649999999999999" customHeight="1" x14ac:dyDescent="0.55000000000000004">
      <c r="A75" s="38">
        <v>69</v>
      </c>
      <c r="B75" s="38"/>
      <c r="C75" s="38" t="s">
        <v>487</v>
      </c>
      <c r="D75" s="38" t="s">
        <v>150</v>
      </c>
      <c r="E75" s="38" t="s">
        <v>488</v>
      </c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 t="s">
        <v>152</v>
      </c>
      <c r="AO75" s="38" t="s">
        <v>352</v>
      </c>
      <c r="AP75" s="38" t="s">
        <v>154</v>
      </c>
      <c r="AQ75" s="38" t="s">
        <v>155</v>
      </c>
      <c r="AR75" s="38" t="s">
        <v>489</v>
      </c>
      <c r="AS75" s="38" t="s">
        <v>123</v>
      </c>
      <c r="AT75" s="38" t="s">
        <v>157</v>
      </c>
      <c r="AU75" s="38" t="s">
        <v>158</v>
      </c>
      <c r="AV75" s="38" t="s">
        <v>490</v>
      </c>
    </row>
    <row r="76" spans="1:48" ht="17.649999999999999" customHeight="1" x14ac:dyDescent="0.55000000000000004">
      <c r="A76" s="38">
        <v>70</v>
      </c>
      <c r="B76" s="38"/>
      <c r="C76" s="38" t="s">
        <v>491</v>
      </c>
      <c r="D76" s="38" t="s">
        <v>171</v>
      </c>
      <c r="E76" s="38" t="s">
        <v>492</v>
      </c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 t="s">
        <v>173</v>
      </c>
      <c r="AO76" s="38" t="s">
        <v>493</v>
      </c>
      <c r="AP76" s="38" t="s">
        <v>175</v>
      </c>
      <c r="AQ76" s="38" t="s">
        <v>176</v>
      </c>
      <c r="AR76" s="38" t="s">
        <v>494</v>
      </c>
      <c r="AS76" s="38" t="s">
        <v>178</v>
      </c>
      <c r="AT76" s="38" t="s">
        <v>179</v>
      </c>
      <c r="AU76" s="38" t="s">
        <v>180</v>
      </c>
      <c r="AV76" s="38" t="s">
        <v>495</v>
      </c>
    </row>
    <row r="77" spans="1:48" ht="17.649999999999999" customHeight="1" x14ac:dyDescent="0.55000000000000004">
      <c r="A77" s="38">
        <v>71</v>
      </c>
      <c r="B77" s="38"/>
      <c r="C77" s="38" t="s">
        <v>496</v>
      </c>
      <c r="D77" s="38" t="s">
        <v>139</v>
      </c>
      <c r="E77" s="38" t="s">
        <v>372</v>
      </c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 t="s">
        <v>141</v>
      </c>
      <c r="AO77" s="38" t="s">
        <v>497</v>
      </c>
      <c r="AP77" s="38" t="s">
        <v>143</v>
      </c>
      <c r="AQ77" s="38" t="s">
        <v>144</v>
      </c>
      <c r="AR77" s="38" t="s">
        <v>498</v>
      </c>
      <c r="AS77" s="38" t="s">
        <v>123</v>
      </c>
      <c r="AT77" s="38" t="s">
        <v>146</v>
      </c>
      <c r="AU77" s="38" t="s">
        <v>147</v>
      </c>
      <c r="AV77" s="38" t="s">
        <v>499</v>
      </c>
    </row>
    <row r="78" spans="1:48" ht="17.649999999999999" customHeight="1" x14ac:dyDescent="0.55000000000000004">
      <c r="A78" s="38">
        <v>72</v>
      </c>
      <c r="B78" s="38"/>
      <c r="C78" s="38" t="s">
        <v>500</v>
      </c>
      <c r="D78" s="38" t="s">
        <v>116</v>
      </c>
      <c r="E78" s="38" t="s">
        <v>117</v>
      </c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 t="s">
        <v>118</v>
      </c>
      <c r="AO78" s="38" t="s">
        <v>364</v>
      </c>
      <c r="AP78" s="38" t="s">
        <v>120</v>
      </c>
      <c r="AQ78" s="38" t="s">
        <v>121</v>
      </c>
      <c r="AR78" s="38" t="s">
        <v>501</v>
      </c>
      <c r="AS78" s="38" t="s">
        <v>123</v>
      </c>
      <c r="AT78" s="38" t="s">
        <v>124</v>
      </c>
      <c r="AU78" s="38" t="s">
        <v>125</v>
      </c>
      <c r="AV78" s="38" t="s">
        <v>502</v>
      </c>
    </row>
    <row r="79" spans="1:48" ht="17.649999999999999" customHeight="1" x14ac:dyDescent="0.55000000000000004">
      <c r="A79" s="38">
        <v>73</v>
      </c>
      <c r="B79" s="38"/>
      <c r="C79" s="38" t="s">
        <v>503</v>
      </c>
      <c r="D79" s="38" t="s">
        <v>116</v>
      </c>
      <c r="E79" s="38" t="s">
        <v>504</v>
      </c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 t="s">
        <v>118</v>
      </c>
      <c r="AO79" s="38" t="s">
        <v>505</v>
      </c>
      <c r="AP79" s="38" t="s">
        <v>120</v>
      </c>
      <c r="AQ79" s="38" t="s">
        <v>121</v>
      </c>
      <c r="AR79" s="38" t="s">
        <v>506</v>
      </c>
      <c r="AS79" s="38" t="s">
        <v>123</v>
      </c>
      <c r="AT79" s="38" t="s">
        <v>124</v>
      </c>
      <c r="AU79" s="38" t="s">
        <v>125</v>
      </c>
      <c r="AV79" s="38" t="s">
        <v>507</v>
      </c>
    </row>
    <row r="80" spans="1:48" ht="17.649999999999999" customHeight="1" x14ac:dyDescent="0.55000000000000004">
      <c r="A80" s="38">
        <v>74</v>
      </c>
      <c r="B80" s="38"/>
      <c r="C80" s="38" t="s">
        <v>508</v>
      </c>
      <c r="D80" s="38" t="s">
        <v>220</v>
      </c>
      <c r="E80" s="38" t="s">
        <v>380</v>
      </c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 t="s">
        <v>221</v>
      </c>
      <c r="AO80" s="38" t="s">
        <v>153</v>
      </c>
      <c r="AP80" s="38" t="s">
        <v>222</v>
      </c>
      <c r="AQ80" s="38" t="s">
        <v>223</v>
      </c>
      <c r="AR80" s="38" t="s">
        <v>509</v>
      </c>
      <c r="AS80" s="38" t="s">
        <v>123</v>
      </c>
      <c r="AT80" s="38" t="s">
        <v>225</v>
      </c>
      <c r="AU80" s="38" t="s">
        <v>226</v>
      </c>
      <c r="AV80" s="38" t="s">
        <v>510</v>
      </c>
    </row>
    <row r="81" spans="1:48" ht="17.649999999999999" customHeight="1" x14ac:dyDescent="0.55000000000000004">
      <c r="A81" s="38">
        <v>75</v>
      </c>
      <c r="B81" s="38"/>
      <c r="C81" s="38" t="s">
        <v>511</v>
      </c>
      <c r="D81" s="38" t="s">
        <v>425</v>
      </c>
      <c r="E81" s="38" t="s">
        <v>512</v>
      </c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 t="s">
        <v>427</v>
      </c>
      <c r="AO81" s="38" t="s">
        <v>162</v>
      </c>
      <c r="AP81" s="38" t="s">
        <v>429</v>
      </c>
      <c r="AQ81" s="38" t="s">
        <v>430</v>
      </c>
      <c r="AR81" s="38" t="s">
        <v>513</v>
      </c>
      <c r="AS81" s="38" t="s">
        <v>123</v>
      </c>
      <c r="AT81" s="38" t="s">
        <v>432</v>
      </c>
      <c r="AU81" s="38" t="s">
        <v>433</v>
      </c>
      <c r="AV81" s="38" t="s">
        <v>514</v>
      </c>
    </row>
    <row r="82" spans="1:48" ht="17.649999999999999" customHeight="1" x14ac:dyDescent="0.55000000000000004">
      <c r="A82" s="38">
        <v>76</v>
      </c>
      <c r="B82" s="38"/>
      <c r="C82" s="38" t="s">
        <v>515</v>
      </c>
      <c r="D82" s="38" t="s">
        <v>220</v>
      </c>
      <c r="E82" s="38" t="s">
        <v>233</v>
      </c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 t="s">
        <v>221</v>
      </c>
      <c r="AO82" s="38" t="s">
        <v>516</v>
      </c>
      <c r="AP82" s="38" t="s">
        <v>222</v>
      </c>
      <c r="AQ82" s="38" t="s">
        <v>223</v>
      </c>
      <c r="AR82" s="38" t="s">
        <v>517</v>
      </c>
      <c r="AS82" s="38" t="s">
        <v>123</v>
      </c>
      <c r="AT82" s="38" t="s">
        <v>225</v>
      </c>
      <c r="AU82" s="38" t="s">
        <v>226</v>
      </c>
      <c r="AV82" s="38" t="s">
        <v>518</v>
      </c>
    </row>
    <row r="83" spans="1:48" ht="17.649999999999999" customHeight="1" x14ac:dyDescent="0.55000000000000004">
      <c r="A83" s="38">
        <v>77</v>
      </c>
      <c r="B83" s="38"/>
      <c r="C83" s="38" t="s">
        <v>519</v>
      </c>
      <c r="D83" s="38" t="s">
        <v>139</v>
      </c>
      <c r="E83" s="38" t="s">
        <v>372</v>
      </c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 t="s">
        <v>141</v>
      </c>
      <c r="AO83" s="38" t="s">
        <v>318</v>
      </c>
      <c r="AP83" s="38" t="s">
        <v>143</v>
      </c>
      <c r="AQ83" s="38" t="s">
        <v>144</v>
      </c>
      <c r="AR83" s="38" t="s">
        <v>520</v>
      </c>
      <c r="AS83" s="38" t="s">
        <v>123</v>
      </c>
      <c r="AT83" s="38" t="s">
        <v>146</v>
      </c>
      <c r="AU83" s="38" t="s">
        <v>147</v>
      </c>
      <c r="AV83" s="38" t="s">
        <v>521</v>
      </c>
    </row>
    <row r="84" spans="1:48" ht="17.649999999999999" customHeight="1" x14ac:dyDescent="0.55000000000000004">
      <c r="A84" s="38">
        <v>78</v>
      </c>
      <c r="B84" s="38"/>
      <c r="C84" s="38" t="s">
        <v>522</v>
      </c>
      <c r="D84" s="38" t="s">
        <v>116</v>
      </c>
      <c r="E84" s="38" t="s">
        <v>117</v>
      </c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 t="s">
        <v>118</v>
      </c>
      <c r="AO84" s="38" t="s">
        <v>523</v>
      </c>
      <c r="AP84" s="38" t="s">
        <v>120</v>
      </c>
      <c r="AQ84" s="38" t="s">
        <v>121</v>
      </c>
      <c r="AR84" s="38" t="s">
        <v>524</v>
      </c>
      <c r="AS84" s="38" t="s">
        <v>123</v>
      </c>
      <c r="AT84" s="38" t="s">
        <v>124</v>
      </c>
      <c r="AU84" s="38" t="s">
        <v>125</v>
      </c>
      <c r="AV84" s="38" t="s">
        <v>525</v>
      </c>
    </row>
    <row r="85" spans="1:48" ht="17.649999999999999" customHeight="1" x14ac:dyDescent="0.55000000000000004">
      <c r="A85" s="38">
        <v>79</v>
      </c>
      <c r="B85" s="38"/>
      <c r="C85" s="38" t="s">
        <v>526</v>
      </c>
      <c r="D85" s="38" t="s">
        <v>128</v>
      </c>
      <c r="E85" s="38" t="s">
        <v>129</v>
      </c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 t="s">
        <v>130</v>
      </c>
      <c r="AO85" s="38" t="s">
        <v>527</v>
      </c>
      <c r="AP85" s="38" t="s">
        <v>132</v>
      </c>
      <c r="AQ85" s="38" t="s">
        <v>133</v>
      </c>
      <c r="AR85" s="38" t="s">
        <v>528</v>
      </c>
      <c r="AS85" s="38" t="s">
        <v>123</v>
      </c>
      <c r="AT85" s="38" t="s">
        <v>135</v>
      </c>
      <c r="AU85" s="38" t="s">
        <v>136</v>
      </c>
      <c r="AV85" s="38" t="s">
        <v>529</v>
      </c>
    </row>
    <row r="86" spans="1:48" ht="17.649999999999999" customHeight="1" x14ac:dyDescent="0.55000000000000004">
      <c r="A86" s="38">
        <v>80</v>
      </c>
      <c r="B86" s="38"/>
      <c r="C86" s="38" t="s">
        <v>530</v>
      </c>
      <c r="D86" s="38" t="s">
        <v>139</v>
      </c>
      <c r="E86" s="38" t="s">
        <v>398</v>
      </c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 t="s">
        <v>141</v>
      </c>
      <c r="AO86" s="38" t="s">
        <v>318</v>
      </c>
      <c r="AP86" s="38" t="s">
        <v>143</v>
      </c>
      <c r="AQ86" s="38" t="s">
        <v>144</v>
      </c>
      <c r="AR86" s="38" t="s">
        <v>531</v>
      </c>
      <c r="AS86" s="38" t="s">
        <v>123</v>
      </c>
      <c r="AT86" s="38" t="s">
        <v>146</v>
      </c>
      <c r="AU86" s="38" t="s">
        <v>147</v>
      </c>
      <c r="AV86" s="38" t="s">
        <v>532</v>
      </c>
    </row>
    <row r="87" spans="1:48" ht="17.649999999999999" customHeight="1" x14ac:dyDescent="0.55000000000000004">
      <c r="A87" s="38">
        <v>81</v>
      </c>
      <c r="B87" s="38"/>
      <c r="C87" s="38" t="s">
        <v>533</v>
      </c>
      <c r="D87" s="38" t="s">
        <v>116</v>
      </c>
      <c r="E87" s="38" t="s">
        <v>117</v>
      </c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 t="s">
        <v>118</v>
      </c>
      <c r="AO87" s="38" t="s">
        <v>262</v>
      </c>
      <c r="AP87" s="38" t="s">
        <v>120</v>
      </c>
      <c r="AQ87" s="38" t="s">
        <v>121</v>
      </c>
      <c r="AR87" s="38" t="s">
        <v>534</v>
      </c>
      <c r="AS87" s="38" t="s">
        <v>123</v>
      </c>
      <c r="AT87" s="38" t="s">
        <v>124</v>
      </c>
      <c r="AU87" s="38" t="s">
        <v>125</v>
      </c>
      <c r="AV87" s="38" t="s">
        <v>535</v>
      </c>
    </row>
    <row r="88" spans="1:48" ht="17.649999999999999" customHeight="1" x14ac:dyDescent="0.55000000000000004">
      <c r="A88" s="38">
        <v>82</v>
      </c>
      <c r="B88" s="38"/>
      <c r="C88" s="38" t="s">
        <v>536</v>
      </c>
      <c r="D88" s="38" t="s">
        <v>139</v>
      </c>
      <c r="E88" s="38" t="s">
        <v>372</v>
      </c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 t="s">
        <v>141</v>
      </c>
      <c r="AO88" s="38" t="s">
        <v>318</v>
      </c>
      <c r="AP88" s="38" t="s">
        <v>143</v>
      </c>
      <c r="AQ88" s="38" t="s">
        <v>144</v>
      </c>
      <c r="AR88" s="38" t="s">
        <v>537</v>
      </c>
      <c r="AS88" s="38" t="s">
        <v>123</v>
      </c>
      <c r="AT88" s="38" t="s">
        <v>146</v>
      </c>
      <c r="AU88" s="38" t="s">
        <v>147</v>
      </c>
      <c r="AV88" s="38" t="s">
        <v>538</v>
      </c>
    </row>
    <row r="89" spans="1:48" ht="17.649999999999999" customHeight="1" x14ac:dyDescent="0.55000000000000004">
      <c r="A89" s="38">
        <v>83</v>
      </c>
      <c r="B89" s="38"/>
      <c r="C89" s="38" t="s">
        <v>539</v>
      </c>
      <c r="D89" s="38" t="s">
        <v>292</v>
      </c>
      <c r="E89" s="38" t="s">
        <v>540</v>
      </c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 t="s">
        <v>294</v>
      </c>
      <c r="AO89" s="38" t="s">
        <v>338</v>
      </c>
      <c r="AP89" s="38" t="s">
        <v>295</v>
      </c>
      <c r="AQ89" s="38" t="s">
        <v>296</v>
      </c>
      <c r="AR89" s="38" t="s">
        <v>541</v>
      </c>
      <c r="AS89" s="38" t="s">
        <v>123</v>
      </c>
      <c r="AT89" s="38" t="s">
        <v>298</v>
      </c>
      <c r="AU89" s="38" t="s">
        <v>299</v>
      </c>
      <c r="AV89" s="38" t="s">
        <v>542</v>
      </c>
    </row>
    <row r="90" spans="1:48" ht="17.649999999999999" customHeight="1" x14ac:dyDescent="0.55000000000000004">
      <c r="A90" s="38">
        <v>84</v>
      </c>
      <c r="B90" s="38"/>
      <c r="C90" s="38" t="s">
        <v>543</v>
      </c>
      <c r="D90" s="38" t="s">
        <v>361</v>
      </c>
      <c r="E90" s="38" t="s">
        <v>384</v>
      </c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 t="s">
        <v>363</v>
      </c>
      <c r="AO90" s="38" t="s">
        <v>385</v>
      </c>
      <c r="AP90" s="38" t="s">
        <v>365</v>
      </c>
      <c r="AQ90" s="38" t="s">
        <v>366</v>
      </c>
      <c r="AR90" s="38" t="s">
        <v>544</v>
      </c>
      <c r="AS90" s="38" t="s">
        <v>123</v>
      </c>
      <c r="AT90" s="38" t="s">
        <v>368</v>
      </c>
      <c r="AU90" s="38" t="s">
        <v>369</v>
      </c>
      <c r="AV90" s="38" t="s">
        <v>545</v>
      </c>
    </row>
    <row r="91" spans="1:48" ht="17.649999999999999" customHeight="1" x14ac:dyDescent="0.55000000000000004">
      <c r="A91" s="38">
        <v>85</v>
      </c>
      <c r="B91" s="38"/>
      <c r="C91" s="38" t="s">
        <v>546</v>
      </c>
      <c r="D91" s="38" t="s">
        <v>116</v>
      </c>
      <c r="E91" s="38" t="s">
        <v>322</v>
      </c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 t="s">
        <v>118</v>
      </c>
      <c r="AO91" s="38" t="s">
        <v>323</v>
      </c>
      <c r="AP91" s="38" t="s">
        <v>120</v>
      </c>
      <c r="AQ91" s="38" t="s">
        <v>121</v>
      </c>
      <c r="AR91" s="38" t="s">
        <v>547</v>
      </c>
      <c r="AS91" s="38" t="s">
        <v>123</v>
      </c>
      <c r="AT91" s="38" t="s">
        <v>124</v>
      </c>
      <c r="AU91" s="38" t="s">
        <v>125</v>
      </c>
      <c r="AV91" s="38" t="s">
        <v>548</v>
      </c>
    </row>
    <row r="92" spans="1:48" ht="17.649999999999999" customHeight="1" x14ac:dyDescent="0.55000000000000004">
      <c r="A92" s="38">
        <v>86</v>
      </c>
      <c r="B92" s="38"/>
      <c r="C92" s="38" t="s">
        <v>549</v>
      </c>
      <c r="D92" s="38" t="s">
        <v>183</v>
      </c>
      <c r="E92" s="38" t="s">
        <v>550</v>
      </c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 t="s">
        <v>185</v>
      </c>
      <c r="AO92" s="38" t="s">
        <v>318</v>
      </c>
      <c r="AP92" s="38" t="s">
        <v>187</v>
      </c>
      <c r="AQ92" s="38" t="s">
        <v>188</v>
      </c>
      <c r="AR92" s="38" t="s">
        <v>551</v>
      </c>
      <c r="AS92" s="38" t="s">
        <v>123</v>
      </c>
      <c r="AT92" s="38" t="s">
        <v>190</v>
      </c>
      <c r="AU92" s="38" t="s">
        <v>191</v>
      </c>
      <c r="AV92" s="38" t="s">
        <v>552</v>
      </c>
    </row>
    <row r="93" spans="1:48" ht="17.649999999999999" customHeight="1" x14ac:dyDescent="0.55000000000000004">
      <c r="A93" s="38">
        <v>87</v>
      </c>
      <c r="B93" s="38"/>
      <c r="C93" s="38" t="s">
        <v>553</v>
      </c>
      <c r="D93" s="38" t="s">
        <v>116</v>
      </c>
      <c r="E93" s="38" t="s">
        <v>117</v>
      </c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 t="s">
        <v>118</v>
      </c>
      <c r="AO93" s="38" t="s">
        <v>554</v>
      </c>
      <c r="AP93" s="38" t="s">
        <v>120</v>
      </c>
      <c r="AQ93" s="38" t="s">
        <v>121</v>
      </c>
      <c r="AR93" s="38" t="s">
        <v>555</v>
      </c>
      <c r="AS93" s="38" t="s">
        <v>123</v>
      </c>
      <c r="AT93" s="38" t="s">
        <v>124</v>
      </c>
      <c r="AU93" s="38" t="s">
        <v>125</v>
      </c>
      <c r="AV93" s="38" t="s">
        <v>556</v>
      </c>
    </row>
    <row r="94" spans="1:48" ht="17.649999999999999" customHeight="1" x14ac:dyDescent="0.55000000000000004">
      <c r="A94" s="38">
        <v>88</v>
      </c>
      <c r="B94" s="38"/>
      <c r="C94" s="38" t="s">
        <v>557</v>
      </c>
      <c r="D94" s="38" t="s">
        <v>183</v>
      </c>
      <c r="E94" s="38" t="s">
        <v>558</v>
      </c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 t="s">
        <v>185</v>
      </c>
      <c r="AO94" s="38" t="s">
        <v>318</v>
      </c>
      <c r="AP94" s="38" t="s">
        <v>187</v>
      </c>
      <c r="AQ94" s="38" t="s">
        <v>188</v>
      </c>
      <c r="AR94" s="38" t="s">
        <v>559</v>
      </c>
      <c r="AS94" s="38" t="s">
        <v>123</v>
      </c>
      <c r="AT94" s="38" t="s">
        <v>190</v>
      </c>
      <c r="AU94" s="38" t="s">
        <v>191</v>
      </c>
      <c r="AV94" s="38" t="s">
        <v>560</v>
      </c>
    </row>
    <row r="95" spans="1:48" ht="17.649999999999999" customHeight="1" x14ac:dyDescent="0.55000000000000004">
      <c r="A95" s="38">
        <v>89</v>
      </c>
      <c r="B95" s="38"/>
      <c r="C95" s="38" t="s">
        <v>561</v>
      </c>
      <c r="D95" s="38" t="s">
        <v>425</v>
      </c>
      <c r="E95" s="38" t="s">
        <v>562</v>
      </c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 t="s">
        <v>427</v>
      </c>
      <c r="AO95" s="38" t="s">
        <v>364</v>
      </c>
      <c r="AP95" s="38" t="s">
        <v>429</v>
      </c>
      <c r="AQ95" s="38" t="s">
        <v>430</v>
      </c>
      <c r="AR95" s="38" t="s">
        <v>563</v>
      </c>
      <c r="AS95" s="38" t="s">
        <v>123</v>
      </c>
      <c r="AT95" s="38" t="s">
        <v>432</v>
      </c>
      <c r="AU95" s="38" t="s">
        <v>433</v>
      </c>
      <c r="AV95" s="38" t="s">
        <v>564</v>
      </c>
    </row>
    <row r="96" spans="1:48" ht="26.4" customHeight="1" x14ac:dyDescent="0.55000000000000004">
      <c r="A96" s="38">
        <v>90</v>
      </c>
      <c r="B96" s="38"/>
      <c r="C96" s="38" t="s">
        <v>565</v>
      </c>
      <c r="D96" s="38" t="s">
        <v>251</v>
      </c>
      <c r="E96" s="38" t="s">
        <v>566</v>
      </c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 t="s">
        <v>253</v>
      </c>
      <c r="AO96" s="38" t="s">
        <v>567</v>
      </c>
      <c r="AP96" s="38" t="s">
        <v>255</v>
      </c>
      <c r="AQ96" s="38" t="s">
        <v>256</v>
      </c>
      <c r="AR96" s="38" t="s">
        <v>568</v>
      </c>
      <c r="AS96" s="38" t="s">
        <v>123</v>
      </c>
      <c r="AT96" s="38" t="s">
        <v>258</v>
      </c>
      <c r="AU96" s="38" t="s">
        <v>259</v>
      </c>
      <c r="AV96" s="38" t="s">
        <v>569</v>
      </c>
    </row>
  </sheetData>
  <mergeCells count="1">
    <mergeCell ref="A1:XFD1"/>
  </mergeCells>
  <phoneticPr fontId="2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/>
  </sheetViews>
  <sheetFormatPr defaultRowHeight="18" x14ac:dyDescent="0.55000000000000004"/>
  <cols>
    <col min="1" max="1" width="9" customWidth="1"/>
    <col min="2" max="2" width="22" customWidth="1"/>
    <col min="3" max="3" width="30" customWidth="1"/>
    <col min="4" max="4" width="48" customWidth="1"/>
    <col min="5" max="5" width="24" customWidth="1"/>
    <col min="6" max="6" width="38" customWidth="1"/>
    <col min="7" max="7" width="28" customWidth="1"/>
  </cols>
  <sheetData>
    <row r="1" spans="1:7" ht="18.649999999999999" customHeight="1" x14ac:dyDescent="0.55000000000000004">
      <c r="A1" s="145" t="s">
        <v>570</v>
      </c>
      <c r="B1" s="145"/>
      <c r="C1" s="145"/>
      <c r="D1" s="145"/>
      <c r="E1" s="145"/>
      <c r="F1" s="145"/>
      <c r="G1" s="145"/>
    </row>
    <row r="2" spans="1:7" ht="14.65" customHeight="1" x14ac:dyDescent="0.55000000000000004">
      <c r="A2" s="146" t="s">
        <v>571</v>
      </c>
      <c r="B2" s="146"/>
      <c r="C2" s="146"/>
      <c r="D2" s="146"/>
      <c r="E2" s="146"/>
      <c r="F2" s="146"/>
      <c r="G2" s="146"/>
    </row>
    <row r="3" spans="1:7" ht="10" customHeight="1" x14ac:dyDescent="0.55000000000000004">
      <c r="A3" s="44" t="s">
        <v>70</v>
      </c>
      <c r="B3" s="44" t="s">
        <v>106</v>
      </c>
      <c r="C3" s="44" t="s">
        <v>108</v>
      </c>
      <c r="D3" s="44" t="s">
        <v>109</v>
      </c>
      <c r="E3" s="44" t="s">
        <v>89</v>
      </c>
      <c r="F3" s="44" t="s">
        <v>112</v>
      </c>
      <c r="G3" s="44" t="s">
        <v>572</v>
      </c>
    </row>
    <row r="4" spans="1:7" ht="17.649999999999999" customHeight="1" x14ac:dyDescent="0.55000000000000004">
      <c r="A4" s="38" t="s">
        <v>116</v>
      </c>
      <c r="B4" s="38" t="s">
        <v>118</v>
      </c>
      <c r="C4" s="38" t="s">
        <v>120</v>
      </c>
      <c r="D4" s="38" t="s">
        <v>121</v>
      </c>
      <c r="E4" s="38" t="s">
        <v>123</v>
      </c>
      <c r="F4" s="38" t="s">
        <v>124</v>
      </c>
      <c r="G4" s="38" t="s">
        <v>125</v>
      </c>
    </row>
    <row r="5" spans="1:7" ht="17.649999999999999" customHeight="1" x14ac:dyDescent="0.55000000000000004">
      <c r="A5" s="38" t="s">
        <v>128</v>
      </c>
      <c r="B5" s="38" t="s">
        <v>130</v>
      </c>
      <c r="C5" s="38" t="s">
        <v>132</v>
      </c>
      <c r="D5" s="38" t="s">
        <v>133</v>
      </c>
      <c r="E5" s="38" t="s">
        <v>123</v>
      </c>
      <c r="F5" s="38" t="s">
        <v>135</v>
      </c>
      <c r="G5" s="38" t="s">
        <v>136</v>
      </c>
    </row>
    <row r="6" spans="1:7" ht="17.649999999999999" customHeight="1" x14ac:dyDescent="0.55000000000000004">
      <c r="A6" s="38" t="s">
        <v>139</v>
      </c>
      <c r="B6" s="38" t="s">
        <v>141</v>
      </c>
      <c r="C6" s="38" t="s">
        <v>143</v>
      </c>
      <c r="D6" s="38" t="s">
        <v>144</v>
      </c>
      <c r="E6" s="38" t="s">
        <v>123</v>
      </c>
      <c r="F6" s="38" t="s">
        <v>146</v>
      </c>
      <c r="G6" s="38" t="s">
        <v>147</v>
      </c>
    </row>
    <row r="7" spans="1:7" ht="17.649999999999999" customHeight="1" x14ac:dyDescent="0.55000000000000004">
      <c r="A7" s="38" t="s">
        <v>220</v>
      </c>
      <c r="B7" s="38" t="s">
        <v>221</v>
      </c>
      <c r="C7" s="38" t="s">
        <v>222</v>
      </c>
      <c r="D7" s="38" t="s">
        <v>223</v>
      </c>
      <c r="E7" s="38" t="s">
        <v>123</v>
      </c>
      <c r="F7" s="38" t="s">
        <v>225</v>
      </c>
      <c r="G7" s="38" t="s">
        <v>226</v>
      </c>
    </row>
    <row r="8" spans="1:7" ht="17.649999999999999" customHeight="1" x14ac:dyDescent="0.55000000000000004">
      <c r="A8" s="38" t="s">
        <v>171</v>
      </c>
      <c r="B8" s="38" t="s">
        <v>173</v>
      </c>
      <c r="C8" s="38" t="s">
        <v>175</v>
      </c>
      <c r="D8" s="38" t="s">
        <v>176</v>
      </c>
      <c r="E8" s="38" t="s">
        <v>178</v>
      </c>
      <c r="F8" s="38" t="s">
        <v>179</v>
      </c>
      <c r="G8" s="38" t="s">
        <v>180</v>
      </c>
    </row>
    <row r="9" spans="1:7" ht="17.649999999999999" customHeight="1" x14ac:dyDescent="0.55000000000000004">
      <c r="A9" s="38" t="s">
        <v>183</v>
      </c>
      <c r="B9" s="38" t="s">
        <v>185</v>
      </c>
      <c r="C9" s="38" t="s">
        <v>187</v>
      </c>
      <c r="D9" s="38" t="s">
        <v>188</v>
      </c>
      <c r="E9" s="38" t="s">
        <v>123</v>
      </c>
      <c r="F9" s="38" t="s">
        <v>190</v>
      </c>
      <c r="G9" s="38" t="s">
        <v>191</v>
      </c>
    </row>
    <row r="10" spans="1:7" ht="17.649999999999999" customHeight="1" x14ac:dyDescent="0.55000000000000004">
      <c r="A10" s="38" t="s">
        <v>150</v>
      </c>
      <c r="B10" s="38" t="s">
        <v>152</v>
      </c>
      <c r="C10" s="38" t="s">
        <v>154</v>
      </c>
      <c r="D10" s="38" t="s">
        <v>155</v>
      </c>
      <c r="E10" s="38" t="s">
        <v>123</v>
      </c>
      <c r="F10" s="38" t="s">
        <v>157</v>
      </c>
      <c r="G10" s="38" t="s">
        <v>158</v>
      </c>
    </row>
    <row r="11" spans="1:7" ht="26.4" customHeight="1" x14ac:dyDescent="0.55000000000000004">
      <c r="A11" s="38" t="s">
        <v>292</v>
      </c>
      <c r="B11" s="38" t="s">
        <v>294</v>
      </c>
      <c r="C11" s="38" t="s">
        <v>295</v>
      </c>
      <c r="D11" s="38" t="s">
        <v>296</v>
      </c>
      <c r="E11" s="38" t="s">
        <v>123</v>
      </c>
      <c r="F11" s="38" t="s">
        <v>298</v>
      </c>
      <c r="G11" s="38" t="s">
        <v>299</v>
      </c>
    </row>
    <row r="12" spans="1:7" ht="17.649999999999999" customHeight="1" x14ac:dyDescent="0.55000000000000004">
      <c r="A12" s="38" t="s">
        <v>209</v>
      </c>
      <c r="B12" s="38" t="s">
        <v>211</v>
      </c>
      <c r="C12" s="38" t="s">
        <v>212</v>
      </c>
      <c r="D12" s="38" t="s">
        <v>213</v>
      </c>
      <c r="E12" s="38" t="s">
        <v>215</v>
      </c>
      <c r="F12" s="38" t="s">
        <v>216</v>
      </c>
      <c r="G12" s="38" t="s">
        <v>217</v>
      </c>
    </row>
    <row r="13" spans="1:7" ht="17.649999999999999" customHeight="1" x14ac:dyDescent="0.55000000000000004">
      <c r="A13" s="38" t="s">
        <v>307</v>
      </c>
      <c r="B13" s="38" t="s">
        <v>309</v>
      </c>
      <c r="C13" s="38" t="s">
        <v>311</v>
      </c>
      <c r="D13" s="38" t="s">
        <v>312</v>
      </c>
      <c r="E13" s="38" t="s">
        <v>123</v>
      </c>
      <c r="F13" s="38" t="s">
        <v>314</v>
      </c>
      <c r="G13" s="38" t="s">
        <v>315</v>
      </c>
    </row>
    <row r="14" spans="1:7" ht="17.649999999999999" customHeight="1" x14ac:dyDescent="0.55000000000000004">
      <c r="A14" s="38" t="s">
        <v>361</v>
      </c>
      <c r="B14" s="38" t="s">
        <v>363</v>
      </c>
      <c r="C14" s="38" t="s">
        <v>365</v>
      </c>
      <c r="D14" s="38" t="s">
        <v>366</v>
      </c>
      <c r="E14" s="38" t="s">
        <v>123</v>
      </c>
      <c r="F14" s="38" t="s">
        <v>368</v>
      </c>
      <c r="G14" s="38" t="s">
        <v>369</v>
      </c>
    </row>
    <row r="15" spans="1:7" ht="17.649999999999999" customHeight="1" x14ac:dyDescent="0.55000000000000004">
      <c r="A15" s="38" t="s">
        <v>425</v>
      </c>
      <c r="B15" s="38" t="s">
        <v>427</v>
      </c>
      <c r="C15" s="38" t="s">
        <v>429</v>
      </c>
      <c r="D15" s="38" t="s">
        <v>430</v>
      </c>
      <c r="E15" s="38" t="s">
        <v>123</v>
      </c>
      <c r="F15" s="38" t="s">
        <v>432</v>
      </c>
      <c r="G15" s="38" t="s">
        <v>433</v>
      </c>
    </row>
    <row r="16" spans="1:7" ht="17.649999999999999" customHeight="1" x14ac:dyDescent="0.55000000000000004">
      <c r="A16" s="38" t="s">
        <v>251</v>
      </c>
      <c r="B16" s="38" t="s">
        <v>253</v>
      </c>
      <c r="C16" s="38" t="s">
        <v>255</v>
      </c>
      <c r="D16" s="38" t="s">
        <v>256</v>
      </c>
      <c r="E16" s="38" t="s">
        <v>123</v>
      </c>
      <c r="F16" s="38" t="s">
        <v>258</v>
      </c>
      <c r="G16" s="38" t="s">
        <v>259</v>
      </c>
    </row>
  </sheetData>
  <mergeCells count="2">
    <mergeCell ref="A1:G1"/>
    <mergeCell ref="A2:G2"/>
  </mergeCells>
  <phoneticPr fontId="2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workbookViewId="0"/>
  </sheetViews>
  <sheetFormatPr defaultRowHeight="18" x14ac:dyDescent="0.55000000000000004"/>
  <cols>
    <col min="1" max="1" width="16" customWidth="1"/>
    <col min="2" max="2" width="26" customWidth="1"/>
    <col min="3" max="3" width="32" customWidth="1"/>
    <col min="4" max="4" width="48" customWidth="1"/>
  </cols>
  <sheetData>
    <row r="1" spans="1:4" x14ac:dyDescent="0.55000000000000004">
      <c r="A1" s="41" t="s">
        <v>573</v>
      </c>
      <c r="B1" s="41"/>
      <c r="C1" s="41"/>
      <c r="D1" s="41"/>
    </row>
    <row r="2" spans="1:4" x14ac:dyDescent="0.55000000000000004">
      <c r="A2" s="38"/>
      <c r="B2" s="38"/>
      <c r="C2" s="38"/>
      <c r="D2" s="38"/>
    </row>
    <row r="3" spans="1:4" x14ac:dyDescent="0.55000000000000004">
      <c r="A3" s="38" t="s">
        <v>574</v>
      </c>
      <c r="B3" s="38" t="s">
        <v>575</v>
      </c>
      <c r="C3" s="38" t="s">
        <v>576</v>
      </c>
      <c r="D3" s="38" t="s">
        <v>577</v>
      </c>
    </row>
    <row r="4" spans="1:4" ht="36" x14ac:dyDescent="0.55000000000000004">
      <c r="A4" s="38" t="s">
        <v>578</v>
      </c>
      <c r="B4" s="38" t="s">
        <v>579</v>
      </c>
      <c r="C4" s="38" t="s">
        <v>580</v>
      </c>
      <c r="D4" s="38" t="s">
        <v>581</v>
      </c>
    </row>
    <row r="5" spans="1:4" ht="36" x14ac:dyDescent="0.55000000000000004">
      <c r="A5" s="38" t="s">
        <v>582</v>
      </c>
      <c r="B5" s="38" t="s">
        <v>583</v>
      </c>
      <c r="C5" s="38" t="s">
        <v>584</v>
      </c>
      <c r="D5" s="38" t="s">
        <v>585</v>
      </c>
    </row>
    <row r="6" spans="1:4" ht="36" x14ac:dyDescent="0.55000000000000004">
      <c r="A6" s="38" t="s">
        <v>64</v>
      </c>
      <c r="B6" s="38" t="s">
        <v>586</v>
      </c>
      <c r="C6" s="38" t="s">
        <v>587</v>
      </c>
      <c r="D6" s="38" t="s">
        <v>588</v>
      </c>
    </row>
    <row r="7" spans="1:4" ht="36" x14ac:dyDescent="0.55000000000000004">
      <c r="A7" s="38" t="s">
        <v>65</v>
      </c>
      <c r="B7" s="38" t="s">
        <v>589</v>
      </c>
      <c r="C7" s="38" t="s">
        <v>590</v>
      </c>
      <c r="D7" s="38" t="s">
        <v>588</v>
      </c>
    </row>
    <row r="8" spans="1:4" x14ac:dyDescent="0.55000000000000004">
      <c r="A8" s="38" t="s">
        <v>591</v>
      </c>
      <c r="B8" s="38" t="s">
        <v>592</v>
      </c>
      <c r="C8" s="38" t="s">
        <v>593</v>
      </c>
      <c r="D8" s="38" t="s">
        <v>594</v>
      </c>
    </row>
    <row r="9" spans="1:4" ht="36" x14ac:dyDescent="0.55000000000000004">
      <c r="A9" s="38" t="s">
        <v>74</v>
      </c>
      <c r="B9" s="38" t="s">
        <v>595</v>
      </c>
      <c r="C9" s="38" t="s">
        <v>596</v>
      </c>
      <c r="D9" s="38" t="s">
        <v>597</v>
      </c>
    </row>
    <row r="10" spans="1:4" ht="36" x14ac:dyDescent="0.55000000000000004">
      <c r="A10" s="38" t="s">
        <v>91</v>
      </c>
      <c r="B10" s="38" t="s">
        <v>598</v>
      </c>
      <c r="C10" s="38" t="s">
        <v>599</v>
      </c>
      <c r="D10" s="38" t="s">
        <v>600</v>
      </c>
    </row>
    <row r="11" spans="1:4" ht="36" x14ac:dyDescent="0.55000000000000004">
      <c r="A11" s="38" t="s">
        <v>93</v>
      </c>
      <c r="B11" s="38" t="s">
        <v>601</v>
      </c>
      <c r="C11" s="38" t="s">
        <v>602</v>
      </c>
      <c r="D11" s="38" t="s">
        <v>603</v>
      </c>
    </row>
    <row r="12" spans="1:4" ht="54" x14ac:dyDescent="0.55000000000000004">
      <c r="A12" s="38" t="s">
        <v>604</v>
      </c>
      <c r="B12" s="38" t="s">
        <v>605</v>
      </c>
      <c r="C12" s="38" t="s">
        <v>606</v>
      </c>
      <c r="D12" s="38" t="s">
        <v>607</v>
      </c>
    </row>
    <row r="13" spans="1:4" ht="36" x14ac:dyDescent="0.55000000000000004">
      <c r="A13" s="38" t="s">
        <v>96</v>
      </c>
      <c r="B13" s="38" t="s">
        <v>608</v>
      </c>
      <c r="C13" s="38" t="s">
        <v>609</v>
      </c>
      <c r="D13" s="38" t="s">
        <v>610</v>
      </c>
    </row>
    <row r="14" spans="1:4" ht="54" x14ac:dyDescent="0.55000000000000004">
      <c r="A14" s="38" t="s">
        <v>97</v>
      </c>
      <c r="B14" s="38" t="s">
        <v>611</v>
      </c>
      <c r="C14" s="38" t="s">
        <v>612</v>
      </c>
      <c r="D14" s="38" t="s">
        <v>613</v>
      </c>
    </row>
    <row r="15" spans="1:4" ht="36" x14ac:dyDescent="0.55000000000000004">
      <c r="A15" s="38" t="s">
        <v>101</v>
      </c>
      <c r="B15" s="38" t="s">
        <v>614</v>
      </c>
      <c r="C15" s="38" t="s">
        <v>615</v>
      </c>
      <c r="D15" s="38" t="s">
        <v>616</v>
      </c>
    </row>
    <row r="16" spans="1:4" ht="36" x14ac:dyDescent="0.55000000000000004">
      <c r="A16" s="38" t="s">
        <v>102</v>
      </c>
      <c r="B16" s="38" t="s">
        <v>617</v>
      </c>
      <c r="C16" s="38" t="s">
        <v>618</v>
      </c>
      <c r="D16" s="38" t="s">
        <v>619</v>
      </c>
    </row>
    <row r="17" spans="1:4" ht="36" x14ac:dyDescent="0.55000000000000004">
      <c r="A17" s="38" t="s">
        <v>103</v>
      </c>
      <c r="B17" s="38" t="s">
        <v>620</v>
      </c>
      <c r="C17" s="38" t="s">
        <v>621</v>
      </c>
      <c r="D17" s="38" t="s">
        <v>622</v>
      </c>
    </row>
    <row r="18" spans="1:4" ht="36" x14ac:dyDescent="0.55000000000000004">
      <c r="A18" s="38" t="s">
        <v>104</v>
      </c>
      <c r="B18" s="38" t="s">
        <v>623</v>
      </c>
      <c r="C18" s="38" t="s">
        <v>624</v>
      </c>
      <c r="D18" s="38" t="s">
        <v>625</v>
      </c>
    </row>
    <row r="19" spans="1:4" ht="54" x14ac:dyDescent="0.55000000000000004">
      <c r="A19" s="38" t="s">
        <v>626</v>
      </c>
      <c r="B19" s="38" t="s">
        <v>627</v>
      </c>
      <c r="C19" s="38" t="s">
        <v>628</v>
      </c>
      <c r="D19" s="38" t="s">
        <v>629</v>
      </c>
    </row>
    <row r="20" spans="1:4" ht="72" x14ac:dyDescent="0.55000000000000004">
      <c r="A20" s="38" t="s">
        <v>98</v>
      </c>
      <c r="B20" s="38" t="s">
        <v>630</v>
      </c>
      <c r="C20" s="38" t="s">
        <v>631</v>
      </c>
      <c r="D20" s="38" t="s">
        <v>632</v>
      </c>
    </row>
    <row r="21" spans="1:4" ht="72" x14ac:dyDescent="0.55000000000000004">
      <c r="A21" s="38" t="s">
        <v>99</v>
      </c>
      <c r="B21" s="38" t="s">
        <v>633</v>
      </c>
      <c r="C21" s="38" t="s">
        <v>634</v>
      </c>
      <c r="D21" s="38" t="s">
        <v>635</v>
      </c>
    </row>
    <row r="22" spans="1:4" ht="36" x14ac:dyDescent="0.55000000000000004">
      <c r="A22" s="38" t="s">
        <v>100</v>
      </c>
      <c r="B22" s="38" t="s">
        <v>636</v>
      </c>
      <c r="C22" s="38" t="s">
        <v>637</v>
      </c>
      <c r="D22" s="38" t="s">
        <v>638</v>
      </c>
    </row>
    <row r="23" spans="1:4" ht="36" x14ac:dyDescent="0.55000000000000004">
      <c r="A23" s="38" t="s">
        <v>639</v>
      </c>
      <c r="B23" s="38" t="s">
        <v>640</v>
      </c>
      <c r="C23" s="38" t="s">
        <v>641</v>
      </c>
      <c r="D23" s="38" t="s">
        <v>642</v>
      </c>
    </row>
    <row r="24" spans="1:4" x14ac:dyDescent="0.55000000000000004">
      <c r="A24" s="38" t="s">
        <v>639</v>
      </c>
      <c r="B24" s="38" t="s">
        <v>643</v>
      </c>
      <c r="C24" s="38" t="s">
        <v>644</v>
      </c>
      <c r="D24" s="38" t="s">
        <v>645</v>
      </c>
    </row>
    <row r="25" spans="1:4" ht="36" x14ac:dyDescent="0.55000000000000004">
      <c r="A25" s="38" t="s">
        <v>646</v>
      </c>
      <c r="B25" s="38" t="s">
        <v>647</v>
      </c>
      <c r="C25" s="38" t="s">
        <v>648</v>
      </c>
      <c r="D25" s="38" t="s">
        <v>649</v>
      </c>
    </row>
    <row r="26" spans="1:4" ht="36" x14ac:dyDescent="0.55000000000000004">
      <c r="A26" s="38" t="s">
        <v>650</v>
      </c>
      <c r="B26" s="38" t="s">
        <v>651</v>
      </c>
      <c r="C26" s="38" t="s">
        <v>652</v>
      </c>
      <c r="D26" s="38" t="s">
        <v>653</v>
      </c>
    </row>
    <row r="27" spans="1:4" ht="36" x14ac:dyDescent="0.55000000000000004">
      <c r="A27" s="38" t="s">
        <v>654</v>
      </c>
      <c r="B27" s="38" t="s">
        <v>655</v>
      </c>
      <c r="C27" s="38" t="s">
        <v>656</v>
      </c>
      <c r="D27" s="38" t="s">
        <v>657</v>
      </c>
    </row>
  </sheetData>
  <phoneticPr fontId="2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1"/>
  <sheetViews>
    <sheetView workbookViewId="0"/>
  </sheetViews>
  <sheetFormatPr defaultRowHeight="18" x14ac:dyDescent="0.55000000000000004"/>
  <cols>
    <col min="1" max="1" width="6" customWidth="1"/>
    <col min="2" max="2" width="10" customWidth="1"/>
    <col min="3" max="3" width="9" customWidth="1"/>
    <col min="4" max="4" width="24" customWidth="1"/>
    <col min="5" max="5" width="30" customWidth="1"/>
    <col min="6" max="6" width="28" customWidth="1"/>
    <col min="7" max="7" width="34" customWidth="1"/>
    <col min="8" max="8" width="54" customWidth="1"/>
    <col min="9" max="9" width="58" customWidth="1"/>
    <col min="10" max="10" width="24" customWidth="1"/>
    <col min="11" max="11" width="46" customWidth="1"/>
    <col min="12" max="12" width="28" customWidth="1"/>
    <col min="13" max="13" width="14" customWidth="1"/>
  </cols>
  <sheetData>
    <row r="1" spans="1:13" ht="10" customHeight="1" x14ac:dyDescent="0.55000000000000004">
      <c r="A1" s="41" t="s">
        <v>67</v>
      </c>
      <c r="B1" s="41" t="s">
        <v>69</v>
      </c>
      <c r="C1" s="41" t="s">
        <v>70</v>
      </c>
      <c r="D1" s="41" t="s">
        <v>106</v>
      </c>
      <c r="E1" s="41" t="s">
        <v>658</v>
      </c>
      <c r="F1" s="41" t="s">
        <v>107</v>
      </c>
      <c r="G1" s="41" t="s">
        <v>108</v>
      </c>
      <c r="H1" s="41" t="s">
        <v>109</v>
      </c>
      <c r="I1" s="41" t="s">
        <v>110</v>
      </c>
      <c r="J1" s="41" t="s">
        <v>89</v>
      </c>
      <c r="K1" s="41" t="s">
        <v>112</v>
      </c>
      <c r="L1" s="41" t="s">
        <v>572</v>
      </c>
      <c r="M1" s="41" t="s">
        <v>114</v>
      </c>
    </row>
    <row r="2" spans="1:13" ht="17.649999999999999" customHeight="1" x14ac:dyDescent="0.55000000000000004">
      <c r="A2" s="38">
        <v>1</v>
      </c>
      <c r="B2" s="38" t="s">
        <v>115</v>
      </c>
      <c r="C2" s="38" t="s">
        <v>116</v>
      </c>
      <c r="D2" s="38" t="s">
        <v>118</v>
      </c>
      <c r="E2" s="38" t="s">
        <v>117</v>
      </c>
      <c r="F2" s="38" t="s">
        <v>119</v>
      </c>
      <c r="G2" s="38" t="s">
        <v>120</v>
      </c>
      <c r="H2" s="38" t="s">
        <v>121</v>
      </c>
      <c r="I2" s="38" t="s">
        <v>122</v>
      </c>
      <c r="J2" s="38" t="s">
        <v>123</v>
      </c>
      <c r="K2" s="38" t="s">
        <v>124</v>
      </c>
      <c r="L2" s="38" t="s">
        <v>125</v>
      </c>
      <c r="M2" s="38" t="s">
        <v>126</v>
      </c>
    </row>
    <row r="3" spans="1:13" ht="17.649999999999999" customHeight="1" x14ac:dyDescent="0.55000000000000004">
      <c r="A3" s="38">
        <v>2</v>
      </c>
      <c r="B3" s="38" t="s">
        <v>127</v>
      </c>
      <c r="C3" s="38" t="s">
        <v>128</v>
      </c>
      <c r="D3" s="38" t="s">
        <v>130</v>
      </c>
      <c r="E3" s="38" t="s">
        <v>129</v>
      </c>
      <c r="F3" s="38" t="s">
        <v>131</v>
      </c>
      <c r="G3" s="38" t="s">
        <v>132</v>
      </c>
      <c r="H3" s="38" t="s">
        <v>133</v>
      </c>
      <c r="I3" s="38" t="s">
        <v>134</v>
      </c>
      <c r="J3" s="38" t="s">
        <v>123</v>
      </c>
      <c r="K3" s="38" t="s">
        <v>135</v>
      </c>
      <c r="L3" s="38" t="s">
        <v>136</v>
      </c>
      <c r="M3" s="38" t="s">
        <v>137</v>
      </c>
    </row>
    <row r="4" spans="1:13" ht="17.649999999999999" customHeight="1" x14ac:dyDescent="0.55000000000000004">
      <c r="A4" s="38">
        <v>3</v>
      </c>
      <c r="B4" s="38" t="s">
        <v>138</v>
      </c>
      <c r="C4" s="38" t="s">
        <v>139</v>
      </c>
      <c r="D4" s="38" t="s">
        <v>141</v>
      </c>
      <c r="E4" s="38" t="s">
        <v>140</v>
      </c>
      <c r="F4" s="38" t="s">
        <v>142</v>
      </c>
      <c r="G4" s="38" t="s">
        <v>143</v>
      </c>
      <c r="H4" s="38" t="s">
        <v>144</v>
      </c>
      <c r="I4" s="38" t="s">
        <v>145</v>
      </c>
      <c r="J4" s="38" t="s">
        <v>123</v>
      </c>
      <c r="K4" s="38" t="s">
        <v>146</v>
      </c>
      <c r="L4" s="38" t="s">
        <v>147</v>
      </c>
      <c r="M4" s="38" t="s">
        <v>148</v>
      </c>
    </row>
    <row r="5" spans="1:13" ht="17.649999999999999" customHeight="1" x14ac:dyDescent="0.55000000000000004">
      <c r="A5" s="38">
        <v>4</v>
      </c>
      <c r="B5" s="38" t="s">
        <v>149</v>
      </c>
      <c r="C5" s="38" t="s">
        <v>150</v>
      </c>
      <c r="D5" s="38" t="s">
        <v>152</v>
      </c>
      <c r="E5" s="38" t="s">
        <v>151</v>
      </c>
      <c r="F5" s="38" t="s">
        <v>153</v>
      </c>
      <c r="G5" s="38" t="s">
        <v>154</v>
      </c>
      <c r="H5" s="38" t="s">
        <v>155</v>
      </c>
      <c r="I5" s="38" t="s">
        <v>156</v>
      </c>
      <c r="J5" s="38" t="s">
        <v>123</v>
      </c>
      <c r="K5" s="38" t="s">
        <v>157</v>
      </c>
      <c r="L5" s="38" t="s">
        <v>158</v>
      </c>
      <c r="M5" s="38" t="s">
        <v>159</v>
      </c>
    </row>
    <row r="6" spans="1:13" ht="17.649999999999999" customHeight="1" x14ac:dyDescent="0.55000000000000004">
      <c r="A6" s="38">
        <v>5</v>
      </c>
      <c r="B6" s="38" t="s">
        <v>160</v>
      </c>
      <c r="C6" s="38" t="s">
        <v>150</v>
      </c>
      <c r="D6" s="38" t="s">
        <v>152</v>
      </c>
      <c r="E6" s="38" t="s">
        <v>161</v>
      </c>
      <c r="F6" s="38" t="s">
        <v>162</v>
      </c>
      <c r="G6" s="38" t="s">
        <v>154</v>
      </c>
      <c r="H6" s="38" t="s">
        <v>155</v>
      </c>
      <c r="I6" s="38" t="s">
        <v>163</v>
      </c>
      <c r="J6" s="38" t="s">
        <v>123</v>
      </c>
      <c r="K6" s="38" t="s">
        <v>157</v>
      </c>
      <c r="L6" s="38" t="s">
        <v>158</v>
      </c>
      <c r="M6" s="38" t="s">
        <v>164</v>
      </c>
    </row>
    <row r="7" spans="1:13" ht="17.649999999999999" customHeight="1" x14ac:dyDescent="0.55000000000000004">
      <c r="A7" s="38">
        <v>6</v>
      </c>
      <c r="B7" s="38" t="s">
        <v>165</v>
      </c>
      <c r="C7" s="38" t="s">
        <v>128</v>
      </c>
      <c r="D7" s="38" t="s">
        <v>130</v>
      </c>
      <c r="E7" s="38" t="s">
        <v>166</v>
      </c>
      <c r="F7" s="38" t="s">
        <v>167</v>
      </c>
      <c r="G7" s="38" t="s">
        <v>132</v>
      </c>
      <c r="H7" s="38" t="s">
        <v>133</v>
      </c>
      <c r="I7" s="38" t="s">
        <v>168</v>
      </c>
      <c r="J7" s="38" t="s">
        <v>123</v>
      </c>
      <c r="K7" s="38" t="s">
        <v>135</v>
      </c>
      <c r="L7" s="38" t="s">
        <v>136</v>
      </c>
      <c r="M7" s="38" t="s">
        <v>169</v>
      </c>
    </row>
    <row r="8" spans="1:13" ht="17.649999999999999" customHeight="1" x14ac:dyDescent="0.55000000000000004">
      <c r="A8" s="38">
        <v>7</v>
      </c>
      <c r="B8" s="38" t="s">
        <v>170</v>
      </c>
      <c r="C8" s="38" t="s">
        <v>171</v>
      </c>
      <c r="D8" s="38" t="s">
        <v>173</v>
      </c>
      <c r="E8" s="38" t="s">
        <v>172</v>
      </c>
      <c r="F8" s="38" t="s">
        <v>174</v>
      </c>
      <c r="G8" s="38" t="s">
        <v>175</v>
      </c>
      <c r="H8" s="38" t="s">
        <v>176</v>
      </c>
      <c r="I8" s="38" t="s">
        <v>177</v>
      </c>
      <c r="J8" s="38" t="s">
        <v>178</v>
      </c>
      <c r="K8" s="38" t="s">
        <v>179</v>
      </c>
      <c r="L8" s="38" t="s">
        <v>180</v>
      </c>
      <c r="M8" s="38" t="s">
        <v>181</v>
      </c>
    </row>
    <row r="9" spans="1:13" ht="17.649999999999999" customHeight="1" x14ac:dyDescent="0.55000000000000004">
      <c r="A9" s="38">
        <v>8</v>
      </c>
      <c r="B9" s="38" t="s">
        <v>182</v>
      </c>
      <c r="C9" s="38" t="s">
        <v>183</v>
      </c>
      <c r="D9" s="38" t="s">
        <v>185</v>
      </c>
      <c r="E9" s="38" t="s">
        <v>184</v>
      </c>
      <c r="F9" s="38" t="s">
        <v>186</v>
      </c>
      <c r="G9" s="38" t="s">
        <v>187</v>
      </c>
      <c r="H9" s="38" t="s">
        <v>188</v>
      </c>
      <c r="I9" s="38" t="s">
        <v>189</v>
      </c>
      <c r="J9" s="38" t="s">
        <v>123</v>
      </c>
      <c r="K9" s="38" t="s">
        <v>190</v>
      </c>
      <c r="L9" s="38" t="s">
        <v>191</v>
      </c>
      <c r="M9" s="38" t="s">
        <v>192</v>
      </c>
    </row>
    <row r="10" spans="1:13" ht="17.649999999999999" customHeight="1" x14ac:dyDescent="0.55000000000000004">
      <c r="A10" s="38">
        <v>9</v>
      </c>
      <c r="B10" s="38" t="s">
        <v>193</v>
      </c>
      <c r="C10" s="38" t="s">
        <v>150</v>
      </c>
      <c r="D10" s="38" t="s">
        <v>152</v>
      </c>
      <c r="E10" s="38" t="s">
        <v>194</v>
      </c>
      <c r="F10" s="38" t="s">
        <v>195</v>
      </c>
      <c r="G10" s="38" t="s">
        <v>154</v>
      </c>
      <c r="H10" s="38" t="s">
        <v>155</v>
      </c>
      <c r="I10" s="38" t="s">
        <v>196</v>
      </c>
      <c r="J10" s="38" t="s">
        <v>123</v>
      </c>
      <c r="K10" s="38" t="s">
        <v>157</v>
      </c>
      <c r="L10" s="38" t="s">
        <v>158</v>
      </c>
      <c r="M10" s="38" t="s">
        <v>197</v>
      </c>
    </row>
    <row r="11" spans="1:13" ht="17.649999999999999" customHeight="1" x14ac:dyDescent="0.55000000000000004">
      <c r="A11" s="38">
        <v>10</v>
      </c>
      <c r="B11" s="38" t="s">
        <v>198</v>
      </c>
      <c r="C11" s="38" t="s">
        <v>116</v>
      </c>
      <c r="D11" s="38" t="s">
        <v>118</v>
      </c>
      <c r="E11" s="38" t="s">
        <v>117</v>
      </c>
      <c r="F11" s="38" t="s">
        <v>199</v>
      </c>
      <c r="G11" s="38" t="s">
        <v>120</v>
      </c>
      <c r="H11" s="38" t="s">
        <v>121</v>
      </c>
      <c r="I11" s="38" t="s">
        <v>200</v>
      </c>
      <c r="J11" s="38" t="s">
        <v>123</v>
      </c>
      <c r="K11" s="38" t="s">
        <v>124</v>
      </c>
      <c r="L11" s="38" t="s">
        <v>125</v>
      </c>
      <c r="M11" s="38" t="s">
        <v>201</v>
      </c>
    </row>
    <row r="12" spans="1:13" ht="17.649999999999999" customHeight="1" x14ac:dyDescent="0.55000000000000004">
      <c r="A12" s="38">
        <v>11</v>
      </c>
      <c r="B12" s="38" t="s">
        <v>202</v>
      </c>
      <c r="C12" s="38" t="s">
        <v>116</v>
      </c>
      <c r="D12" s="38" t="s">
        <v>118</v>
      </c>
      <c r="E12" s="38" t="s">
        <v>117</v>
      </c>
      <c r="F12" s="38" t="s">
        <v>162</v>
      </c>
      <c r="G12" s="38" t="s">
        <v>120</v>
      </c>
      <c r="H12" s="38" t="s">
        <v>121</v>
      </c>
      <c r="I12" s="38" t="s">
        <v>203</v>
      </c>
      <c r="J12" s="38" t="s">
        <v>123</v>
      </c>
      <c r="K12" s="38" t="s">
        <v>124</v>
      </c>
      <c r="L12" s="38" t="s">
        <v>125</v>
      </c>
      <c r="M12" s="38" t="s">
        <v>204</v>
      </c>
    </row>
    <row r="13" spans="1:13" ht="17.649999999999999" customHeight="1" x14ac:dyDescent="0.55000000000000004">
      <c r="A13" s="38">
        <v>12</v>
      </c>
      <c r="B13" s="38" t="s">
        <v>205</v>
      </c>
      <c r="C13" s="38" t="s">
        <v>128</v>
      </c>
      <c r="D13" s="38" t="s">
        <v>130</v>
      </c>
      <c r="E13" s="38" t="s">
        <v>129</v>
      </c>
      <c r="F13" s="38" t="s">
        <v>131</v>
      </c>
      <c r="G13" s="38" t="s">
        <v>132</v>
      </c>
      <c r="H13" s="38" t="s">
        <v>133</v>
      </c>
      <c r="I13" s="38" t="s">
        <v>206</v>
      </c>
      <c r="J13" s="38" t="s">
        <v>123</v>
      </c>
      <c r="K13" s="38" t="s">
        <v>135</v>
      </c>
      <c r="L13" s="38" t="s">
        <v>136</v>
      </c>
      <c r="M13" s="38" t="s">
        <v>207</v>
      </c>
    </row>
    <row r="14" spans="1:13" ht="17.649999999999999" customHeight="1" x14ac:dyDescent="0.55000000000000004">
      <c r="A14" s="38">
        <v>13</v>
      </c>
      <c r="B14" s="38" t="s">
        <v>208</v>
      </c>
      <c r="C14" s="38" t="s">
        <v>209</v>
      </c>
      <c r="D14" s="38" t="s">
        <v>211</v>
      </c>
      <c r="E14" s="38" t="s">
        <v>210</v>
      </c>
      <c r="F14" s="38" t="s">
        <v>142</v>
      </c>
      <c r="G14" s="38" t="s">
        <v>212</v>
      </c>
      <c r="H14" s="38" t="s">
        <v>213</v>
      </c>
      <c r="I14" s="38" t="s">
        <v>214</v>
      </c>
      <c r="J14" s="38" t="s">
        <v>215</v>
      </c>
      <c r="K14" s="38" t="s">
        <v>216</v>
      </c>
      <c r="L14" s="38" t="s">
        <v>217</v>
      </c>
      <c r="M14" s="38" t="s">
        <v>218</v>
      </c>
    </row>
    <row r="15" spans="1:13" ht="17.649999999999999" customHeight="1" x14ac:dyDescent="0.55000000000000004">
      <c r="A15" s="38">
        <v>14</v>
      </c>
      <c r="B15" s="38" t="s">
        <v>219</v>
      </c>
      <c r="C15" s="38" t="s">
        <v>220</v>
      </c>
      <c r="D15" s="38" t="s">
        <v>221</v>
      </c>
      <c r="E15" s="38" t="s">
        <v>151</v>
      </c>
      <c r="F15" s="38" t="s">
        <v>153</v>
      </c>
      <c r="G15" s="38" t="s">
        <v>222</v>
      </c>
      <c r="H15" s="38" t="s">
        <v>223</v>
      </c>
      <c r="I15" s="38" t="s">
        <v>224</v>
      </c>
      <c r="J15" s="38" t="s">
        <v>123</v>
      </c>
      <c r="K15" s="38" t="s">
        <v>225</v>
      </c>
      <c r="L15" s="38" t="s">
        <v>226</v>
      </c>
      <c r="M15" s="38" t="s">
        <v>227</v>
      </c>
    </row>
    <row r="16" spans="1:13" ht="17.649999999999999" customHeight="1" x14ac:dyDescent="0.55000000000000004">
      <c r="A16" s="38">
        <v>15</v>
      </c>
      <c r="B16" s="38" t="s">
        <v>228</v>
      </c>
      <c r="C16" s="38" t="s">
        <v>171</v>
      </c>
      <c r="D16" s="38" t="s">
        <v>173</v>
      </c>
      <c r="E16" s="38" t="s">
        <v>172</v>
      </c>
      <c r="F16" s="38" t="s">
        <v>229</v>
      </c>
      <c r="G16" s="38" t="s">
        <v>175</v>
      </c>
      <c r="H16" s="38" t="s">
        <v>176</v>
      </c>
      <c r="I16" s="38" t="s">
        <v>230</v>
      </c>
      <c r="J16" s="38" t="s">
        <v>178</v>
      </c>
      <c r="K16" s="38" t="s">
        <v>179</v>
      </c>
      <c r="L16" s="38" t="s">
        <v>180</v>
      </c>
      <c r="M16" s="38" t="s">
        <v>231</v>
      </c>
    </row>
    <row r="17" spans="1:13" ht="17.649999999999999" customHeight="1" x14ac:dyDescent="0.55000000000000004">
      <c r="A17" s="38">
        <v>16</v>
      </c>
      <c r="B17" s="38" t="s">
        <v>232</v>
      </c>
      <c r="C17" s="38" t="s">
        <v>220</v>
      </c>
      <c r="D17" s="38" t="s">
        <v>221</v>
      </c>
      <c r="E17" s="38" t="s">
        <v>233</v>
      </c>
      <c r="F17" s="38" t="s">
        <v>234</v>
      </c>
      <c r="G17" s="38" t="s">
        <v>222</v>
      </c>
      <c r="H17" s="38" t="s">
        <v>223</v>
      </c>
      <c r="I17" s="38" t="s">
        <v>235</v>
      </c>
      <c r="J17" s="38" t="s">
        <v>123</v>
      </c>
      <c r="K17" s="38" t="s">
        <v>225</v>
      </c>
      <c r="L17" s="38" t="s">
        <v>226</v>
      </c>
      <c r="M17" s="38" t="s">
        <v>236</v>
      </c>
    </row>
    <row r="18" spans="1:13" ht="17.649999999999999" customHeight="1" x14ac:dyDescent="0.55000000000000004">
      <c r="A18" s="38">
        <v>17</v>
      </c>
      <c r="B18" s="38" t="s">
        <v>237</v>
      </c>
      <c r="C18" s="38" t="s">
        <v>150</v>
      </c>
      <c r="D18" s="38" t="s">
        <v>152</v>
      </c>
      <c r="E18" s="38" t="s">
        <v>238</v>
      </c>
      <c r="F18" s="38" t="s">
        <v>131</v>
      </c>
      <c r="G18" s="38" t="s">
        <v>154</v>
      </c>
      <c r="H18" s="38" t="s">
        <v>155</v>
      </c>
      <c r="I18" s="38" t="s">
        <v>239</v>
      </c>
      <c r="J18" s="38" t="s">
        <v>123</v>
      </c>
      <c r="K18" s="38" t="s">
        <v>157</v>
      </c>
      <c r="L18" s="38" t="s">
        <v>158</v>
      </c>
      <c r="M18" s="38" t="s">
        <v>240</v>
      </c>
    </row>
    <row r="19" spans="1:13" ht="17.649999999999999" customHeight="1" x14ac:dyDescent="0.55000000000000004">
      <c r="A19" s="38">
        <v>18</v>
      </c>
      <c r="B19" s="38" t="s">
        <v>241</v>
      </c>
      <c r="C19" s="38" t="s">
        <v>150</v>
      </c>
      <c r="D19" s="38" t="s">
        <v>152</v>
      </c>
      <c r="E19" s="38" t="s">
        <v>242</v>
      </c>
      <c r="F19" s="38" t="s">
        <v>243</v>
      </c>
      <c r="G19" s="38" t="s">
        <v>154</v>
      </c>
      <c r="H19" s="38" t="s">
        <v>155</v>
      </c>
      <c r="I19" s="38" t="s">
        <v>244</v>
      </c>
      <c r="J19" s="38" t="s">
        <v>123</v>
      </c>
      <c r="K19" s="38" t="s">
        <v>157</v>
      </c>
      <c r="L19" s="38" t="s">
        <v>158</v>
      </c>
      <c r="M19" s="38" t="s">
        <v>245</v>
      </c>
    </row>
    <row r="20" spans="1:13" ht="17.649999999999999" customHeight="1" x14ac:dyDescent="0.55000000000000004">
      <c r="A20" s="38">
        <v>19</v>
      </c>
      <c r="B20" s="38" t="s">
        <v>246</v>
      </c>
      <c r="C20" s="38" t="s">
        <v>183</v>
      </c>
      <c r="D20" s="38" t="s">
        <v>185</v>
      </c>
      <c r="E20" s="38" t="s">
        <v>247</v>
      </c>
      <c r="F20" s="38" t="s">
        <v>167</v>
      </c>
      <c r="G20" s="38" t="s">
        <v>187</v>
      </c>
      <c r="H20" s="38" t="s">
        <v>188</v>
      </c>
      <c r="I20" s="38" t="s">
        <v>248</v>
      </c>
      <c r="J20" s="38" t="s">
        <v>123</v>
      </c>
      <c r="K20" s="38" t="s">
        <v>190</v>
      </c>
      <c r="L20" s="38" t="s">
        <v>191</v>
      </c>
      <c r="M20" s="38" t="s">
        <v>249</v>
      </c>
    </row>
    <row r="21" spans="1:13" ht="26.4" customHeight="1" x14ac:dyDescent="0.55000000000000004">
      <c r="A21" s="38">
        <v>20</v>
      </c>
      <c r="B21" s="38" t="s">
        <v>250</v>
      </c>
      <c r="C21" s="38" t="s">
        <v>251</v>
      </c>
      <c r="D21" s="38" t="s">
        <v>253</v>
      </c>
      <c r="E21" s="38" t="s">
        <v>252</v>
      </c>
      <c r="F21" s="38" t="s">
        <v>254</v>
      </c>
      <c r="G21" s="38" t="s">
        <v>255</v>
      </c>
      <c r="H21" s="38" t="s">
        <v>256</v>
      </c>
      <c r="I21" s="38" t="s">
        <v>257</v>
      </c>
      <c r="J21" s="38" t="s">
        <v>123</v>
      </c>
      <c r="K21" s="38" t="s">
        <v>258</v>
      </c>
      <c r="L21" s="38" t="s">
        <v>259</v>
      </c>
      <c r="M21" s="38" t="s">
        <v>260</v>
      </c>
    </row>
    <row r="22" spans="1:13" ht="17.649999999999999" customHeight="1" x14ac:dyDescent="0.55000000000000004">
      <c r="A22" s="38">
        <v>21</v>
      </c>
      <c r="B22" s="38" t="s">
        <v>261</v>
      </c>
      <c r="C22" s="38" t="s">
        <v>116</v>
      </c>
      <c r="D22" s="38" t="s">
        <v>118</v>
      </c>
      <c r="E22" s="38" t="s">
        <v>117</v>
      </c>
      <c r="F22" s="38" t="s">
        <v>262</v>
      </c>
      <c r="G22" s="38" t="s">
        <v>120</v>
      </c>
      <c r="H22" s="38" t="s">
        <v>121</v>
      </c>
      <c r="I22" s="38" t="s">
        <v>263</v>
      </c>
      <c r="J22" s="38" t="s">
        <v>123</v>
      </c>
      <c r="K22" s="38" t="s">
        <v>124</v>
      </c>
      <c r="L22" s="38" t="s">
        <v>125</v>
      </c>
      <c r="M22" s="38" t="s">
        <v>264</v>
      </c>
    </row>
    <row r="23" spans="1:13" ht="17.649999999999999" customHeight="1" x14ac:dyDescent="0.55000000000000004">
      <c r="A23" s="38">
        <v>22</v>
      </c>
      <c r="B23" s="38" t="s">
        <v>265</v>
      </c>
      <c r="C23" s="38" t="s">
        <v>209</v>
      </c>
      <c r="D23" s="38" t="s">
        <v>211</v>
      </c>
      <c r="E23" s="38" t="s">
        <v>266</v>
      </c>
      <c r="F23" s="38" t="s">
        <v>167</v>
      </c>
      <c r="G23" s="38" t="s">
        <v>212</v>
      </c>
      <c r="H23" s="38" t="s">
        <v>213</v>
      </c>
      <c r="I23" s="38" t="s">
        <v>267</v>
      </c>
      <c r="J23" s="38" t="s">
        <v>215</v>
      </c>
      <c r="K23" s="38" t="s">
        <v>216</v>
      </c>
      <c r="L23" s="38" t="s">
        <v>217</v>
      </c>
      <c r="M23" s="38" t="s">
        <v>268</v>
      </c>
    </row>
    <row r="24" spans="1:13" ht="17.649999999999999" customHeight="1" x14ac:dyDescent="0.55000000000000004">
      <c r="A24" s="38">
        <v>23</v>
      </c>
      <c r="B24" s="38" t="s">
        <v>269</v>
      </c>
      <c r="C24" s="38" t="s">
        <v>150</v>
      </c>
      <c r="D24" s="38" t="s">
        <v>152</v>
      </c>
      <c r="E24" s="38" t="s">
        <v>270</v>
      </c>
      <c r="F24" s="38" t="s">
        <v>271</v>
      </c>
      <c r="G24" s="38" t="s">
        <v>154</v>
      </c>
      <c r="H24" s="38" t="s">
        <v>155</v>
      </c>
      <c r="I24" s="38" t="s">
        <v>272</v>
      </c>
      <c r="J24" s="38" t="s">
        <v>123</v>
      </c>
      <c r="K24" s="38" t="s">
        <v>157</v>
      </c>
      <c r="L24" s="38" t="s">
        <v>158</v>
      </c>
      <c r="M24" s="38" t="s">
        <v>273</v>
      </c>
    </row>
    <row r="25" spans="1:13" ht="17.649999999999999" customHeight="1" x14ac:dyDescent="0.55000000000000004">
      <c r="A25" s="38">
        <v>24</v>
      </c>
      <c r="B25" s="38" t="s">
        <v>274</v>
      </c>
      <c r="C25" s="38" t="s">
        <v>220</v>
      </c>
      <c r="D25" s="38" t="s">
        <v>221</v>
      </c>
      <c r="E25" s="38" t="s">
        <v>275</v>
      </c>
      <c r="F25" s="38" t="s">
        <v>153</v>
      </c>
      <c r="G25" s="38" t="s">
        <v>222</v>
      </c>
      <c r="H25" s="38" t="s">
        <v>223</v>
      </c>
      <c r="I25" s="38" t="s">
        <v>276</v>
      </c>
      <c r="J25" s="38" t="s">
        <v>123</v>
      </c>
      <c r="K25" s="38" t="s">
        <v>225</v>
      </c>
      <c r="L25" s="38" t="s">
        <v>226</v>
      </c>
      <c r="M25" s="38" t="s">
        <v>277</v>
      </c>
    </row>
    <row r="26" spans="1:13" ht="17.649999999999999" customHeight="1" x14ac:dyDescent="0.55000000000000004">
      <c r="A26" s="38">
        <v>25</v>
      </c>
      <c r="B26" s="38" t="s">
        <v>278</v>
      </c>
      <c r="C26" s="38" t="s">
        <v>171</v>
      </c>
      <c r="D26" s="38" t="s">
        <v>173</v>
      </c>
      <c r="E26" s="38" t="s">
        <v>172</v>
      </c>
      <c r="F26" s="38" t="s">
        <v>279</v>
      </c>
      <c r="G26" s="38" t="s">
        <v>175</v>
      </c>
      <c r="H26" s="38" t="s">
        <v>176</v>
      </c>
      <c r="I26" s="38" t="s">
        <v>280</v>
      </c>
      <c r="J26" s="38" t="s">
        <v>178</v>
      </c>
      <c r="K26" s="38" t="s">
        <v>179</v>
      </c>
      <c r="L26" s="38" t="s">
        <v>180</v>
      </c>
      <c r="M26" s="38" t="s">
        <v>281</v>
      </c>
    </row>
    <row r="27" spans="1:13" ht="17.649999999999999" customHeight="1" x14ac:dyDescent="0.55000000000000004">
      <c r="A27" s="38">
        <v>26</v>
      </c>
      <c r="B27" s="38" t="s">
        <v>282</v>
      </c>
      <c r="C27" s="38" t="s">
        <v>183</v>
      </c>
      <c r="D27" s="38" t="s">
        <v>185</v>
      </c>
      <c r="E27" s="38" t="s">
        <v>283</v>
      </c>
      <c r="F27" s="38" t="s">
        <v>284</v>
      </c>
      <c r="G27" s="38" t="s">
        <v>187</v>
      </c>
      <c r="H27" s="38" t="s">
        <v>188</v>
      </c>
      <c r="I27" s="38" t="s">
        <v>285</v>
      </c>
      <c r="J27" s="38" t="s">
        <v>123</v>
      </c>
      <c r="K27" s="38" t="s">
        <v>190</v>
      </c>
      <c r="L27" s="38" t="s">
        <v>191</v>
      </c>
      <c r="M27" s="38" t="s">
        <v>286</v>
      </c>
    </row>
    <row r="28" spans="1:13" ht="17.649999999999999" customHeight="1" x14ac:dyDescent="0.55000000000000004">
      <c r="A28" s="38">
        <v>27</v>
      </c>
      <c r="B28" s="38" t="s">
        <v>287</v>
      </c>
      <c r="C28" s="38" t="s">
        <v>150</v>
      </c>
      <c r="D28" s="38" t="s">
        <v>152</v>
      </c>
      <c r="E28" s="38" t="s">
        <v>288</v>
      </c>
      <c r="F28" s="38" t="s">
        <v>162</v>
      </c>
      <c r="G28" s="38" t="s">
        <v>154</v>
      </c>
      <c r="H28" s="38" t="s">
        <v>155</v>
      </c>
      <c r="I28" s="38" t="s">
        <v>289</v>
      </c>
      <c r="J28" s="38" t="s">
        <v>123</v>
      </c>
      <c r="K28" s="38" t="s">
        <v>157</v>
      </c>
      <c r="L28" s="38" t="s">
        <v>158</v>
      </c>
      <c r="M28" s="38" t="s">
        <v>290</v>
      </c>
    </row>
    <row r="29" spans="1:13" ht="17.649999999999999" customHeight="1" x14ac:dyDescent="0.55000000000000004">
      <c r="A29" s="38">
        <v>28</v>
      </c>
      <c r="B29" s="38" t="s">
        <v>291</v>
      </c>
      <c r="C29" s="38" t="s">
        <v>292</v>
      </c>
      <c r="D29" s="38" t="s">
        <v>294</v>
      </c>
      <c r="E29" s="38" t="s">
        <v>293</v>
      </c>
      <c r="F29" s="38" t="s">
        <v>195</v>
      </c>
      <c r="G29" s="38" t="s">
        <v>295</v>
      </c>
      <c r="H29" s="38" t="s">
        <v>296</v>
      </c>
      <c r="I29" s="38" t="s">
        <v>297</v>
      </c>
      <c r="J29" s="38" t="s">
        <v>123</v>
      </c>
      <c r="K29" s="38" t="s">
        <v>298</v>
      </c>
      <c r="L29" s="38" t="s">
        <v>299</v>
      </c>
      <c r="M29" s="38" t="s">
        <v>300</v>
      </c>
    </row>
    <row r="30" spans="1:13" ht="17.649999999999999" customHeight="1" x14ac:dyDescent="0.55000000000000004">
      <c r="A30" s="38">
        <v>29</v>
      </c>
      <c r="B30" s="38" t="s">
        <v>301</v>
      </c>
      <c r="C30" s="38" t="s">
        <v>209</v>
      </c>
      <c r="D30" s="38" t="s">
        <v>211</v>
      </c>
      <c r="E30" s="38" t="s">
        <v>302</v>
      </c>
      <c r="F30" s="38" t="s">
        <v>303</v>
      </c>
      <c r="G30" s="38" t="s">
        <v>212</v>
      </c>
      <c r="H30" s="38" t="s">
        <v>213</v>
      </c>
      <c r="I30" s="38" t="s">
        <v>304</v>
      </c>
      <c r="J30" s="38" t="s">
        <v>215</v>
      </c>
      <c r="K30" s="38" t="s">
        <v>216</v>
      </c>
      <c r="L30" s="38" t="s">
        <v>217</v>
      </c>
      <c r="M30" s="38" t="s">
        <v>305</v>
      </c>
    </row>
    <row r="31" spans="1:13" ht="17.649999999999999" customHeight="1" x14ac:dyDescent="0.55000000000000004">
      <c r="A31" s="38">
        <v>30</v>
      </c>
      <c r="B31" s="38" t="s">
        <v>306</v>
      </c>
      <c r="C31" s="38" t="s">
        <v>307</v>
      </c>
      <c r="D31" s="38" t="s">
        <v>309</v>
      </c>
      <c r="E31" s="38" t="s">
        <v>308</v>
      </c>
      <c r="F31" s="38" t="s">
        <v>310</v>
      </c>
      <c r="G31" s="38" t="s">
        <v>311</v>
      </c>
      <c r="H31" s="38" t="s">
        <v>312</v>
      </c>
      <c r="I31" s="38" t="s">
        <v>313</v>
      </c>
      <c r="J31" s="38" t="s">
        <v>123</v>
      </c>
      <c r="K31" s="38" t="s">
        <v>314</v>
      </c>
      <c r="L31" s="38" t="s">
        <v>315</v>
      </c>
      <c r="M31" s="38" t="s">
        <v>316</v>
      </c>
    </row>
    <row r="32" spans="1:13" ht="26.4" customHeight="1" x14ac:dyDescent="0.55000000000000004">
      <c r="A32" s="38">
        <v>31</v>
      </c>
      <c r="B32" s="38" t="s">
        <v>317</v>
      </c>
      <c r="C32" s="38" t="s">
        <v>183</v>
      </c>
      <c r="D32" s="38" t="s">
        <v>185</v>
      </c>
      <c r="E32" s="38" t="s">
        <v>140</v>
      </c>
      <c r="F32" s="38" t="s">
        <v>318</v>
      </c>
      <c r="G32" s="38" t="s">
        <v>187</v>
      </c>
      <c r="H32" s="38" t="s">
        <v>188</v>
      </c>
      <c r="I32" s="38" t="s">
        <v>319</v>
      </c>
      <c r="J32" s="38" t="s">
        <v>123</v>
      </c>
      <c r="K32" s="38" t="s">
        <v>190</v>
      </c>
      <c r="L32" s="38" t="s">
        <v>191</v>
      </c>
      <c r="M32" s="38" t="s">
        <v>320</v>
      </c>
    </row>
    <row r="33" spans="1:13" ht="17.649999999999999" customHeight="1" x14ac:dyDescent="0.55000000000000004">
      <c r="A33" s="38">
        <v>32</v>
      </c>
      <c r="B33" s="38" t="s">
        <v>321</v>
      </c>
      <c r="C33" s="38" t="s">
        <v>116</v>
      </c>
      <c r="D33" s="38" t="s">
        <v>118</v>
      </c>
      <c r="E33" s="38" t="s">
        <v>322</v>
      </c>
      <c r="F33" s="38" t="s">
        <v>323</v>
      </c>
      <c r="G33" s="38" t="s">
        <v>120</v>
      </c>
      <c r="H33" s="38" t="s">
        <v>121</v>
      </c>
      <c r="I33" s="38" t="s">
        <v>324</v>
      </c>
      <c r="J33" s="38" t="s">
        <v>123</v>
      </c>
      <c r="K33" s="38" t="s">
        <v>124</v>
      </c>
      <c r="L33" s="38" t="s">
        <v>125</v>
      </c>
      <c r="M33" s="38" t="s">
        <v>325</v>
      </c>
    </row>
    <row r="34" spans="1:13" ht="17.649999999999999" customHeight="1" x14ac:dyDescent="0.55000000000000004">
      <c r="A34" s="38">
        <v>33</v>
      </c>
      <c r="B34" s="38" t="s">
        <v>326</v>
      </c>
      <c r="C34" s="38" t="s">
        <v>183</v>
      </c>
      <c r="D34" s="38" t="s">
        <v>185</v>
      </c>
      <c r="E34" s="38" t="s">
        <v>140</v>
      </c>
      <c r="F34" s="38" t="s">
        <v>318</v>
      </c>
      <c r="G34" s="38" t="s">
        <v>187</v>
      </c>
      <c r="H34" s="38" t="s">
        <v>188</v>
      </c>
      <c r="I34" s="38" t="s">
        <v>327</v>
      </c>
      <c r="J34" s="38" t="s">
        <v>123</v>
      </c>
      <c r="K34" s="38" t="s">
        <v>190</v>
      </c>
      <c r="L34" s="38" t="s">
        <v>191</v>
      </c>
      <c r="M34" s="38" t="s">
        <v>328</v>
      </c>
    </row>
    <row r="35" spans="1:13" ht="17.649999999999999" customHeight="1" x14ac:dyDescent="0.55000000000000004">
      <c r="A35" s="38">
        <v>34</v>
      </c>
      <c r="B35" s="38" t="s">
        <v>329</v>
      </c>
      <c r="C35" s="38" t="s">
        <v>220</v>
      </c>
      <c r="D35" s="38" t="s">
        <v>221</v>
      </c>
      <c r="E35" s="38" t="s">
        <v>275</v>
      </c>
      <c r="F35" s="38" t="s">
        <v>153</v>
      </c>
      <c r="G35" s="38" t="s">
        <v>222</v>
      </c>
      <c r="H35" s="38" t="s">
        <v>223</v>
      </c>
      <c r="I35" s="38" t="s">
        <v>330</v>
      </c>
      <c r="J35" s="38" t="s">
        <v>123</v>
      </c>
      <c r="K35" s="38" t="s">
        <v>225</v>
      </c>
      <c r="L35" s="38" t="s">
        <v>226</v>
      </c>
      <c r="M35" s="38" t="s">
        <v>331</v>
      </c>
    </row>
    <row r="36" spans="1:13" ht="17.649999999999999" customHeight="1" x14ac:dyDescent="0.55000000000000004">
      <c r="A36" s="38">
        <v>35</v>
      </c>
      <c r="B36" s="38" t="s">
        <v>332</v>
      </c>
      <c r="C36" s="38" t="s">
        <v>139</v>
      </c>
      <c r="D36" s="38" t="s">
        <v>141</v>
      </c>
      <c r="E36" s="38" t="s">
        <v>333</v>
      </c>
      <c r="F36" s="38" t="s">
        <v>318</v>
      </c>
      <c r="G36" s="38" t="s">
        <v>143</v>
      </c>
      <c r="H36" s="38" t="s">
        <v>144</v>
      </c>
      <c r="I36" s="38" t="s">
        <v>334</v>
      </c>
      <c r="J36" s="38" t="s">
        <v>123</v>
      </c>
      <c r="K36" s="38" t="s">
        <v>146</v>
      </c>
      <c r="L36" s="38" t="s">
        <v>147</v>
      </c>
      <c r="M36" s="38" t="s">
        <v>335</v>
      </c>
    </row>
    <row r="37" spans="1:13" ht="17.649999999999999" customHeight="1" x14ac:dyDescent="0.55000000000000004">
      <c r="A37" s="38">
        <v>36</v>
      </c>
      <c r="B37" s="38" t="s">
        <v>336</v>
      </c>
      <c r="C37" s="38" t="s">
        <v>116</v>
      </c>
      <c r="D37" s="38" t="s">
        <v>118</v>
      </c>
      <c r="E37" s="38" t="s">
        <v>337</v>
      </c>
      <c r="F37" s="38" t="s">
        <v>338</v>
      </c>
      <c r="G37" s="38" t="s">
        <v>120</v>
      </c>
      <c r="H37" s="38" t="s">
        <v>121</v>
      </c>
      <c r="I37" s="38" t="s">
        <v>339</v>
      </c>
      <c r="J37" s="38" t="s">
        <v>123</v>
      </c>
      <c r="K37" s="38" t="s">
        <v>124</v>
      </c>
      <c r="L37" s="38" t="s">
        <v>125</v>
      </c>
      <c r="M37" s="38" t="s">
        <v>340</v>
      </c>
    </row>
    <row r="38" spans="1:13" ht="17.649999999999999" customHeight="1" x14ac:dyDescent="0.55000000000000004">
      <c r="A38" s="38">
        <v>37</v>
      </c>
      <c r="B38" s="38" t="s">
        <v>341</v>
      </c>
      <c r="C38" s="38" t="s">
        <v>128</v>
      </c>
      <c r="D38" s="38" t="s">
        <v>130</v>
      </c>
      <c r="E38" s="38" t="s">
        <v>129</v>
      </c>
      <c r="F38" s="38" t="s">
        <v>342</v>
      </c>
      <c r="G38" s="38" t="s">
        <v>132</v>
      </c>
      <c r="H38" s="38" t="s">
        <v>133</v>
      </c>
      <c r="I38" s="38" t="s">
        <v>343</v>
      </c>
      <c r="J38" s="38" t="s">
        <v>123</v>
      </c>
      <c r="K38" s="38" t="s">
        <v>135</v>
      </c>
      <c r="L38" s="38" t="s">
        <v>136</v>
      </c>
      <c r="M38" s="38" t="s">
        <v>344</v>
      </c>
    </row>
    <row r="39" spans="1:13" ht="17.649999999999999" customHeight="1" x14ac:dyDescent="0.55000000000000004">
      <c r="A39" s="38">
        <v>38</v>
      </c>
      <c r="B39" s="38" t="s">
        <v>345</v>
      </c>
      <c r="C39" s="38" t="s">
        <v>251</v>
      </c>
      <c r="D39" s="38" t="s">
        <v>253</v>
      </c>
      <c r="E39" s="38" t="s">
        <v>346</v>
      </c>
      <c r="F39" s="38" t="s">
        <v>347</v>
      </c>
      <c r="G39" s="38" t="s">
        <v>255</v>
      </c>
      <c r="H39" s="38" t="s">
        <v>256</v>
      </c>
      <c r="I39" s="38" t="s">
        <v>348</v>
      </c>
      <c r="J39" s="38" t="s">
        <v>123</v>
      </c>
      <c r="K39" s="38" t="s">
        <v>258</v>
      </c>
      <c r="L39" s="38" t="s">
        <v>259</v>
      </c>
      <c r="M39" s="38" t="s">
        <v>349</v>
      </c>
    </row>
    <row r="40" spans="1:13" ht="17.649999999999999" customHeight="1" x14ac:dyDescent="0.55000000000000004">
      <c r="A40" s="38">
        <v>39</v>
      </c>
      <c r="B40" s="38" t="s">
        <v>350</v>
      </c>
      <c r="C40" s="38" t="s">
        <v>139</v>
      </c>
      <c r="D40" s="38" t="s">
        <v>141</v>
      </c>
      <c r="E40" s="38" t="s">
        <v>351</v>
      </c>
      <c r="F40" s="38" t="s">
        <v>352</v>
      </c>
      <c r="G40" s="38" t="s">
        <v>143</v>
      </c>
      <c r="H40" s="38" t="s">
        <v>144</v>
      </c>
      <c r="I40" s="38" t="s">
        <v>353</v>
      </c>
      <c r="J40" s="38" t="s">
        <v>123</v>
      </c>
      <c r="K40" s="38" t="s">
        <v>146</v>
      </c>
      <c r="L40" s="38" t="s">
        <v>147</v>
      </c>
      <c r="M40" s="38" t="s">
        <v>354</v>
      </c>
    </row>
    <row r="41" spans="1:13" ht="17.649999999999999" customHeight="1" x14ac:dyDescent="0.55000000000000004">
      <c r="A41" s="38">
        <v>40</v>
      </c>
      <c r="B41" s="38" t="s">
        <v>355</v>
      </c>
      <c r="C41" s="38" t="s">
        <v>139</v>
      </c>
      <c r="D41" s="38" t="s">
        <v>141</v>
      </c>
      <c r="E41" s="38" t="s">
        <v>356</v>
      </c>
      <c r="F41" s="38" t="s">
        <v>357</v>
      </c>
      <c r="G41" s="38" t="s">
        <v>143</v>
      </c>
      <c r="H41" s="38" t="s">
        <v>144</v>
      </c>
      <c r="I41" s="38" t="s">
        <v>358</v>
      </c>
      <c r="J41" s="38" t="s">
        <v>123</v>
      </c>
      <c r="K41" s="38" t="s">
        <v>146</v>
      </c>
      <c r="L41" s="38" t="s">
        <v>147</v>
      </c>
      <c r="M41" s="38" t="s">
        <v>359</v>
      </c>
    </row>
    <row r="42" spans="1:13" ht="17.649999999999999" customHeight="1" x14ac:dyDescent="0.55000000000000004">
      <c r="A42" s="38">
        <v>41</v>
      </c>
      <c r="B42" s="38" t="s">
        <v>360</v>
      </c>
      <c r="C42" s="38" t="s">
        <v>361</v>
      </c>
      <c r="D42" s="38" t="s">
        <v>363</v>
      </c>
      <c r="E42" s="38" t="s">
        <v>362</v>
      </c>
      <c r="F42" s="38" t="s">
        <v>364</v>
      </c>
      <c r="G42" s="38" t="s">
        <v>365</v>
      </c>
      <c r="H42" s="38" t="s">
        <v>366</v>
      </c>
      <c r="I42" s="38" t="s">
        <v>367</v>
      </c>
      <c r="J42" s="38" t="s">
        <v>123</v>
      </c>
      <c r="K42" s="38" t="s">
        <v>368</v>
      </c>
      <c r="L42" s="38" t="s">
        <v>369</v>
      </c>
      <c r="M42" s="38" t="s">
        <v>370</v>
      </c>
    </row>
    <row r="43" spans="1:13" ht="17.649999999999999" customHeight="1" x14ac:dyDescent="0.55000000000000004">
      <c r="A43" s="38">
        <v>42</v>
      </c>
      <c r="B43" s="38" t="s">
        <v>371</v>
      </c>
      <c r="C43" s="38" t="s">
        <v>139</v>
      </c>
      <c r="D43" s="38" t="s">
        <v>141</v>
      </c>
      <c r="E43" s="38" t="s">
        <v>372</v>
      </c>
      <c r="F43" s="38" t="s">
        <v>318</v>
      </c>
      <c r="G43" s="38" t="s">
        <v>143</v>
      </c>
      <c r="H43" s="38" t="s">
        <v>144</v>
      </c>
      <c r="I43" s="38" t="s">
        <v>373</v>
      </c>
      <c r="J43" s="38" t="s">
        <v>123</v>
      </c>
      <c r="K43" s="38" t="s">
        <v>146</v>
      </c>
      <c r="L43" s="38" t="s">
        <v>147</v>
      </c>
      <c r="M43" s="38" t="s">
        <v>374</v>
      </c>
    </row>
    <row r="44" spans="1:13" ht="17.649999999999999" customHeight="1" x14ac:dyDescent="0.55000000000000004">
      <c r="A44" s="38">
        <v>43</v>
      </c>
      <c r="B44" s="38" t="s">
        <v>375</v>
      </c>
      <c r="C44" s="38" t="s">
        <v>116</v>
      </c>
      <c r="D44" s="38" t="s">
        <v>118</v>
      </c>
      <c r="E44" s="38" t="s">
        <v>322</v>
      </c>
      <c r="F44" s="38" t="s">
        <v>376</v>
      </c>
      <c r="G44" s="38" t="s">
        <v>120</v>
      </c>
      <c r="H44" s="38" t="s">
        <v>121</v>
      </c>
      <c r="I44" s="38" t="s">
        <v>377</v>
      </c>
      <c r="J44" s="38" t="s">
        <v>123</v>
      </c>
      <c r="K44" s="38" t="s">
        <v>124</v>
      </c>
      <c r="L44" s="38" t="s">
        <v>125</v>
      </c>
      <c r="M44" s="38" t="s">
        <v>378</v>
      </c>
    </row>
    <row r="45" spans="1:13" ht="26.4" customHeight="1" x14ac:dyDescent="0.55000000000000004">
      <c r="A45" s="38">
        <v>44</v>
      </c>
      <c r="B45" s="38" t="s">
        <v>379</v>
      </c>
      <c r="C45" s="38" t="s">
        <v>183</v>
      </c>
      <c r="D45" s="38" t="s">
        <v>185</v>
      </c>
      <c r="E45" s="38" t="s">
        <v>380</v>
      </c>
      <c r="F45" s="38" t="s">
        <v>153</v>
      </c>
      <c r="G45" s="38" t="s">
        <v>187</v>
      </c>
      <c r="H45" s="38" t="s">
        <v>188</v>
      </c>
      <c r="I45" s="38" t="s">
        <v>381</v>
      </c>
      <c r="J45" s="38" t="s">
        <v>123</v>
      </c>
      <c r="K45" s="38" t="s">
        <v>190</v>
      </c>
      <c r="L45" s="38" t="s">
        <v>191</v>
      </c>
      <c r="M45" s="38" t="s">
        <v>382</v>
      </c>
    </row>
    <row r="46" spans="1:13" ht="17.649999999999999" customHeight="1" x14ac:dyDescent="0.55000000000000004">
      <c r="A46" s="38">
        <v>45</v>
      </c>
      <c r="B46" s="38" t="s">
        <v>383</v>
      </c>
      <c r="C46" s="38" t="s">
        <v>361</v>
      </c>
      <c r="D46" s="38" t="s">
        <v>363</v>
      </c>
      <c r="E46" s="38" t="s">
        <v>384</v>
      </c>
      <c r="F46" s="38" t="s">
        <v>385</v>
      </c>
      <c r="G46" s="38" t="s">
        <v>365</v>
      </c>
      <c r="H46" s="38" t="s">
        <v>366</v>
      </c>
      <c r="I46" s="38" t="s">
        <v>386</v>
      </c>
      <c r="J46" s="38" t="s">
        <v>123</v>
      </c>
      <c r="K46" s="38" t="s">
        <v>368</v>
      </c>
      <c r="L46" s="38" t="s">
        <v>369</v>
      </c>
      <c r="M46" s="38" t="s">
        <v>387</v>
      </c>
    </row>
    <row r="47" spans="1:13" ht="17.649999999999999" customHeight="1" x14ac:dyDescent="0.55000000000000004">
      <c r="A47" s="38">
        <v>46</v>
      </c>
      <c r="B47" s="38" t="s">
        <v>388</v>
      </c>
      <c r="C47" s="38" t="s">
        <v>292</v>
      </c>
      <c r="D47" s="38" t="s">
        <v>294</v>
      </c>
      <c r="E47" s="38" t="s">
        <v>389</v>
      </c>
      <c r="F47" s="38" t="s">
        <v>390</v>
      </c>
      <c r="G47" s="38" t="s">
        <v>295</v>
      </c>
      <c r="H47" s="38" t="s">
        <v>296</v>
      </c>
      <c r="I47" s="38" t="s">
        <v>391</v>
      </c>
      <c r="J47" s="38" t="s">
        <v>123</v>
      </c>
      <c r="K47" s="38" t="s">
        <v>298</v>
      </c>
      <c r="L47" s="38" t="s">
        <v>299</v>
      </c>
      <c r="M47" s="38" t="s">
        <v>392</v>
      </c>
    </row>
    <row r="48" spans="1:13" ht="17.649999999999999" customHeight="1" x14ac:dyDescent="0.55000000000000004">
      <c r="A48" s="38">
        <v>47</v>
      </c>
      <c r="B48" s="38" t="s">
        <v>393</v>
      </c>
      <c r="C48" s="38" t="s">
        <v>116</v>
      </c>
      <c r="D48" s="38" t="s">
        <v>118</v>
      </c>
      <c r="E48" s="38" t="s">
        <v>337</v>
      </c>
      <c r="F48" s="38" t="s">
        <v>394</v>
      </c>
      <c r="G48" s="38" t="s">
        <v>120</v>
      </c>
      <c r="H48" s="38" t="s">
        <v>121</v>
      </c>
      <c r="I48" s="38" t="s">
        <v>395</v>
      </c>
      <c r="J48" s="38" t="s">
        <v>123</v>
      </c>
      <c r="K48" s="38" t="s">
        <v>124</v>
      </c>
      <c r="L48" s="38" t="s">
        <v>125</v>
      </c>
      <c r="M48" s="38" t="s">
        <v>396</v>
      </c>
    </row>
    <row r="49" spans="1:13" ht="17.649999999999999" customHeight="1" x14ac:dyDescent="0.55000000000000004">
      <c r="A49" s="38">
        <v>48</v>
      </c>
      <c r="B49" s="38" t="s">
        <v>397</v>
      </c>
      <c r="C49" s="38" t="s">
        <v>139</v>
      </c>
      <c r="D49" s="38" t="s">
        <v>141</v>
      </c>
      <c r="E49" s="38" t="s">
        <v>398</v>
      </c>
      <c r="F49" s="38" t="s">
        <v>318</v>
      </c>
      <c r="G49" s="38" t="s">
        <v>143</v>
      </c>
      <c r="H49" s="38" t="s">
        <v>144</v>
      </c>
      <c r="I49" s="38" t="s">
        <v>399</v>
      </c>
      <c r="J49" s="38" t="s">
        <v>123</v>
      </c>
      <c r="K49" s="38" t="s">
        <v>146</v>
      </c>
      <c r="L49" s="38" t="s">
        <v>147</v>
      </c>
      <c r="M49" s="38" t="s">
        <v>400</v>
      </c>
    </row>
    <row r="50" spans="1:13" ht="17.649999999999999" customHeight="1" x14ac:dyDescent="0.55000000000000004">
      <c r="A50" s="38">
        <v>49</v>
      </c>
      <c r="B50" s="38" t="s">
        <v>401</v>
      </c>
      <c r="C50" s="38" t="s">
        <v>128</v>
      </c>
      <c r="D50" s="38" t="s">
        <v>130</v>
      </c>
      <c r="E50" s="38" t="s">
        <v>402</v>
      </c>
      <c r="F50" s="38" t="s">
        <v>403</v>
      </c>
      <c r="G50" s="38" t="s">
        <v>132</v>
      </c>
      <c r="H50" s="38" t="s">
        <v>133</v>
      </c>
      <c r="I50" s="38" t="s">
        <v>404</v>
      </c>
      <c r="J50" s="38" t="s">
        <v>123</v>
      </c>
      <c r="K50" s="38" t="s">
        <v>135</v>
      </c>
      <c r="L50" s="38" t="s">
        <v>136</v>
      </c>
      <c r="M50" s="38" t="s">
        <v>405</v>
      </c>
    </row>
    <row r="51" spans="1:13" ht="17.649999999999999" customHeight="1" x14ac:dyDescent="0.55000000000000004">
      <c r="A51" s="38">
        <v>50</v>
      </c>
      <c r="B51" s="38" t="s">
        <v>406</v>
      </c>
      <c r="C51" s="38" t="s">
        <v>116</v>
      </c>
      <c r="D51" s="38" t="s">
        <v>118</v>
      </c>
      <c r="E51" s="38" t="s">
        <v>337</v>
      </c>
      <c r="F51" s="38" t="s">
        <v>195</v>
      </c>
      <c r="G51" s="38" t="s">
        <v>120</v>
      </c>
      <c r="H51" s="38" t="s">
        <v>121</v>
      </c>
      <c r="I51" s="38" t="s">
        <v>407</v>
      </c>
      <c r="J51" s="38" t="s">
        <v>123</v>
      </c>
      <c r="K51" s="38" t="s">
        <v>124</v>
      </c>
      <c r="L51" s="38" t="s">
        <v>125</v>
      </c>
      <c r="M51" s="38" t="s">
        <v>408</v>
      </c>
    </row>
    <row r="52" spans="1:13" ht="17.649999999999999" customHeight="1" x14ac:dyDescent="0.55000000000000004">
      <c r="A52" s="38">
        <v>51</v>
      </c>
      <c r="B52" s="38" t="s">
        <v>409</v>
      </c>
      <c r="C52" s="38" t="s">
        <v>361</v>
      </c>
      <c r="D52" s="38" t="s">
        <v>363</v>
      </c>
      <c r="E52" s="38" t="s">
        <v>410</v>
      </c>
      <c r="F52" s="38" t="s">
        <v>262</v>
      </c>
      <c r="G52" s="38" t="s">
        <v>365</v>
      </c>
      <c r="H52" s="38" t="s">
        <v>366</v>
      </c>
      <c r="I52" s="38" t="s">
        <v>411</v>
      </c>
      <c r="J52" s="38" t="s">
        <v>123</v>
      </c>
      <c r="K52" s="38" t="s">
        <v>368</v>
      </c>
      <c r="L52" s="38" t="s">
        <v>369</v>
      </c>
      <c r="M52" s="38" t="s">
        <v>412</v>
      </c>
    </row>
    <row r="53" spans="1:13" ht="17.649999999999999" customHeight="1" x14ac:dyDescent="0.55000000000000004">
      <c r="A53" s="38">
        <v>52</v>
      </c>
      <c r="B53" s="38" t="s">
        <v>413</v>
      </c>
      <c r="C53" s="38" t="s">
        <v>183</v>
      </c>
      <c r="D53" s="38" t="s">
        <v>185</v>
      </c>
      <c r="E53" s="38" t="s">
        <v>380</v>
      </c>
      <c r="F53" s="38" t="s">
        <v>153</v>
      </c>
      <c r="G53" s="38" t="s">
        <v>187</v>
      </c>
      <c r="H53" s="38" t="s">
        <v>188</v>
      </c>
      <c r="I53" s="38" t="s">
        <v>414</v>
      </c>
      <c r="J53" s="38" t="s">
        <v>123</v>
      </c>
      <c r="K53" s="38" t="s">
        <v>190</v>
      </c>
      <c r="L53" s="38" t="s">
        <v>191</v>
      </c>
      <c r="M53" s="38" t="s">
        <v>415</v>
      </c>
    </row>
    <row r="54" spans="1:13" ht="17.649999999999999" customHeight="1" x14ac:dyDescent="0.55000000000000004">
      <c r="A54" s="38">
        <v>53</v>
      </c>
      <c r="B54" s="38" t="s">
        <v>416</v>
      </c>
      <c r="C54" s="38" t="s">
        <v>128</v>
      </c>
      <c r="D54" s="38" t="s">
        <v>130</v>
      </c>
      <c r="E54" s="38" t="s">
        <v>129</v>
      </c>
      <c r="F54" s="38" t="s">
        <v>417</v>
      </c>
      <c r="G54" s="38" t="s">
        <v>132</v>
      </c>
      <c r="H54" s="38" t="s">
        <v>133</v>
      </c>
      <c r="I54" s="38" t="s">
        <v>418</v>
      </c>
      <c r="J54" s="38" t="s">
        <v>123</v>
      </c>
      <c r="K54" s="38" t="s">
        <v>135</v>
      </c>
      <c r="L54" s="38" t="s">
        <v>136</v>
      </c>
      <c r="M54" s="38" t="s">
        <v>419</v>
      </c>
    </row>
    <row r="55" spans="1:13" ht="17.649999999999999" customHeight="1" x14ac:dyDescent="0.55000000000000004">
      <c r="A55" s="38">
        <v>54</v>
      </c>
      <c r="B55" s="38" t="s">
        <v>420</v>
      </c>
      <c r="C55" s="38" t="s">
        <v>139</v>
      </c>
      <c r="D55" s="38" t="s">
        <v>141</v>
      </c>
      <c r="E55" s="38" t="s">
        <v>372</v>
      </c>
      <c r="F55" s="38" t="s">
        <v>421</v>
      </c>
      <c r="G55" s="38" t="s">
        <v>143</v>
      </c>
      <c r="H55" s="38" t="s">
        <v>144</v>
      </c>
      <c r="I55" s="38" t="s">
        <v>422</v>
      </c>
      <c r="J55" s="38" t="s">
        <v>123</v>
      </c>
      <c r="K55" s="38" t="s">
        <v>146</v>
      </c>
      <c r="L55" s="38" t="s">
        <v>147</v>
      </c>
      <c r="M55" s="38" t="s">
        <v>423</v>
      </c>
    </row>
    <row r="56" spans="1:13" ht="17.649999999999999" customHeight="1" x14ac:dyDescent="0.55000000000000004">
      <c r="A56" s="38">
        <v>55</v>
      </c>
      <c r="B56" s="38" t="s">
        <v>424</v>
      </c>
      <c r="C56" s="38" t="s">
        <v>425</v>
      </c>
      <c r="D56" s="38" t="s">
        <v>427</v>
      </c>
      <c r="E56" s="38" t="s">
        <v>426</v>
      </c>
      <c r="F56" s="38" t="s">
        <v>428</v>
      </c>
      <c r="G56" s="38" t="s">
        <v>429</v>
      </c>
      <c r="H56" s="38" t="s">
        <v>430</v>
      </c>
      <c r="I56" s="38" t="s">
        <v>431</v>
      </c>
      <c r="J56" s="38" t="s">
        <v>123</v>
      </c>
      <c r="K56" s="38" t="s">
        <v>432</v>
      </c>
      <c r="L56" s="38" t="s">
        <v>433</v>
      </c>
      <c r="M56" s="38" t="s">
        <v>434</v>
      </c>
    </row>
    <row r="57" spans="1:13" ht="17.649999999999999" customHeight="1" x14ac:dyDescent="0.55000000000000004">
      <c r="A57" s="38">
        <v>56</v>
      </c>
      <c r="B57" s="38" t="s">
        <v>435</v>
      </c>
      <c r="C57" s="38" t="s">
        <v>139</v>
      </c>
      <c r="D57" s="38" t="s">
        <v>141</v>
      </c>
      <c r="E57" s="38" t="s">
        <v>372</v>
      </c>
      <c r="F57" s="38" t="s">
        <v>318</v>
      </c>
      <c r="G57" s="38" t="s">
        <v>143</v>
      </c>
      <c r="H57" s="38" t="s">
        <v>144</v>
      </c>
      <c r="I57" s="38" t="s">
        <v>436</v>
      </c>
      <c r="J57" s="38" t="s">
        <v>123</v>
      </c>
      <c r="K57" s="38" t="s">
        <v>146</v>
      </c>
      <c r="L57" s="38" t="s">
        <v>147</v>
      </c>
      <c r="M57" s="38" t="s">
        <v>437</v>
      </c>
    </row>
    <row r="58" spans="1:13" ht="17.649999999999999" customHeight="1" x14ac:dyDescent="0.55000000000000004">
      <c r="A58" s="38">
        <v>57</v>
      </c>
      <c r="B58" s="38" t="s">
        <v>438</v>
      </c>
      <c r="C58" s="38" t="s">
        <v>150</v>
      </c>
      <c r="D58" s="38" t="s">
        <v>152</v>
      </c>
      <c r="E58" s="38" t="s">
        <v>439</v>
      </c>
      <c r="F58" s="38" t="s">
        <v>440</v>
      </c>
      <c r="G58" s="38" t="s">
        <v>154</v>
      </c>
      <c r="H58" s="38" t="s">
        <v>155</v>
      </c>
      <c r="I58" s="38" t="s">
        <v>441</v>
      </c>
      <c r="J58" s="38" t="s">
        <v>123</v>
      </c>
      <c r="K58" s="38" t="s">
        <v>157</v>
      </c>
      <c r="L58" s="38" t="s">
        <v>158</v>
      </c>
      <c r="M58" s="38" t="s">
        <v>442</v>
      </c>
    </row>
    <row r="59" spans="1:13" ht="17.649999999999999" customHeight="1" x14ac:dyDescent="0.55000000000000004">
      <c r="A59" s="38">
        <v>58</v>
      </c>
      <c r="B59" s="38" t="s">
        <v>443</v>
      </c>
      <c r="C59" s="38" t="s">
        <v>251</v>
      </c>
      <c r="D59" s="38" t="s">
        <v>253</v>
      </c>
      <c r="E59" s="38" t="s">
        <v>444</v>
      </c>
      <c r="F59" s="38" t="s">
        <v>445</v>
      </c>
      <c r="G59" s="38" t="s">
        <v>255</v>
      </c>
      <c r="H59" s="38" t="s">
        <v>256</v>
      </c>
      <c r="I59" s="38" t="s">
        <v>446</v>
      </c>
      <c r="J59" s="38" t="s">
        <v>123</v>
      </c>
      <c r="K59" s="38" t="s">
        <v>258</v>
      </c>
      <c r="L59" s="38" t="s">
        <v>259</v>
      </c>
      <c r="M59" s="38" t="s">
        <v>447</v>
      </c>
    </row>
    <row r="60" spans="1:13" ht="17.649999999999999" customHeight="1" x14ac:dyDescent="0.55000000000000004">
      <c r="A60" s="38">
        <v>59</v>
      </c>
      <c r="B60" s="38" t="s">
        <v>448</v>
      </c>
      <c r="C60" s="38" t="s">
        <v>220</v>
      </c>
      <c r="D60" s="38" t="s">
        <v>221</v>
      </c>
      <c r="E60" s="38" t="s">
        <v>449</v>
      </c>
      <c r="F60" s="38" t="s">
        <v>450</v>
      </c>
      <c r="G60" s="38" t="s">
        <v>222</v>
      </c>
      <c r="H60" s="38" t="s">
        <v>223</v>
      </c>
      <c r="I60" s="38" t="s">
        <v>451</v>
      </c>
      <c r="J60" s="38" t="s">
        <v>123</v>
      </c>
      <c r="K60" s="38" t="s">
        <v>225</v>
      </c>
      <c r="L60" s="38" t="s">
        <v>226</v>
      </c>
      <c r="M60" s="38" t="s">
        <v>452</v>
      </c>
    </row>
    <row r="61" spans="1:13" ht="17.649999999999999" customHeight="1" x14ac:dyDescent="0.55000000000000004">
      <c r="A61" s="38">
        <v>60</v>
      </c>
      <c r="B61" s="38" t="s">
        <v>453</v>
      </c>
      <c r="C61" s="38" t="s">
        <v>361</v>
      </c>
      <c r="D61" s="38" t="s">
        <v>363</v>
      </c>
      <c r="E61" s="38" t="s">
        <v>454</v>
      </c>
      <c r="F61" s="38" t="s">
        <v>455</v>
      </c>
      <c r="G61" s="38" t="s">
        <v>365</v>
      </c>
      <c r="H61" s="38" t="s">
        <v>366</v>
      </c>
      <c r="I61" s="38" t="s">
        <v>456</v>
      </c>
      <c r="J61" s="38" t="s">
        <v>123</v>
      </c>
      <c r="K61" s="38" t="s">
        <v>368</v>
      </c>
      <c r="L61" s="38" t="s">
        <v>369</v>
      </c>
      <c r="M61" s="38" t="s">
        <v>457</v>
      </c>
    </row>
    <row r="62" spans="1:13" ht="17.649999999999999" customHeight="1" x14ac:dyDescent="0.55000000000000004">
      <c r="A62" s="38">
        <v>61</v>
      </c>
      <c r="B62" s="38" t="s">
        <v>458</v>
      </c>
      <c r="C62" s="38" t="s">
        <v>116</v>
      </c>
      <c r="D62" s="38" t="s">
        <v>118</v>
      </c>
      <c r="E62" s="38" t="s">
        <v>337</v>
      </c>
      <c r="F62" s="38" t="s">
        <v>262</v>
      </c>
      <c r="G62" s="38" t="s">
        <v>120</v>
      </c>
      <c r="H62" s="38" t="s">
        <v>121</v>
      </c>
      <c r="I62" s="38" t="s">
        <v>459</v>
      </c>
      <c r="J62" s="38" t="s">
        <v>123</v>
      </c>
      <c r="K62" s="38" t="s">
        <v>124</v>
      </c>
      <c r="L62" s="38" t="s">
        <v>125</v>
      </c>
      <c r="M62" s="38" t="s">
        <v>460</v>
      </c>
    </row>
    <row r="63" spans="1:13" ht="17.649999999999999" customHeight="1" x14ac:dyDescent="0.55000000000000004">
      <c r="A63" s="38">
        <v>62</v>
      </c>
      <c r="B63" s="38" t="s">
        <v>461</v>
      </c>
      <c r="C63" s="38" t="s">
        <v>128</v>
      </c>
      <c r="D63" s="38" t="s">
        <v>130</v>
      </c>
      <c r="E63" s="38" t="s">
        <v>129</v>
      </c>
      <c r="F63" s="38" t="s">
        <v>342</v>
      </c>
      <c r="G63" s="38" t="s">
        <v>132</v>
      </c>
      <c r="H63" s="38" t="s">
        <v>133</v>
      </c>
      <c r="I63" s="38" t="s">
        <v>462</v>
      </c>
      <c r="J63" s="38" t="s">
        <v>123</v>
      </c>
      <c r="K63" s="38" t="s">
        <v>135</v>
      </c>
      <c r="L63" s="38" t="s">
        <v>136</v>
      </c>
      <c r="M63" s="38" t="s">
        <v>463</v>
      </c>
    </row>
    <row r="64" spans="1:13" ht="17.649999999999999" customHeight="1" x14ac:dyDescent="0.55000000000000004">
      <c r="A64" s="38">
        <v>63</v>
      </c>
      <c r="B64" s="38" t="s">
        <v>464</v>
      </c>
      <c r="C64" s="38" t="s">
        <v>139</v>
      </c>
      <c r="D64" s="38" t="s">
        <v>141</v>
      </c>
      <c r="E64" s="38" t="s">
        <v>372</v>
      </c>
      <c r="F64" s="38" t="s">
        <v>318</v>
      </c>
      <c r="G64" s="38" t="s">
        <v>143</v>
      </c>
      <c r="H64" s="38" t="s">
        <v>144</v>
      </c>
      <c r="I64" s="38" t="s">
        <v>465</v>
      </c>
      <c r="J64" s="38" t="s">
        <v>123</v>
      </c>
      <c r="K64" s="38" t="s">
        <v>146</v>
      </c>
      <c r="L64" s="38" t="s">
        <v>147</v>
      </c>
      <c r="M64" s="38" t="s">
        <v>466</v>
      </c>
    </row>
    <row r="65" spans="1:13" ht="17.649999999999999" customHeight="1" x14ac:dyDescent="0.55000000000000004">
      <c r="A65" s="38">
        <v>64</v>
      </c>
      <c r="B65" s="38" t="s">
        <v>467</v>
      </c>
      <c r="C65" s="38" t="s">
        <v>425</v>
      </c>
      <c r="D65" s="38" t="s">
        <v>427</v>
      </c>
      <c r="E65" s="38" t="s">
        <v>468</v>
      </c>
      <c r="F65" s="38" t="s">
        <v>153</v>
      </c>
      <c r="G65" s="38" t="s">
        <v>429</v>
      </c>
      <c r="H65" s="38" t="s">
        <v>430</v>
      </c>
      <c r="I65" s="38" t="s">
        <v>469</v>
      </c>
      <c r="J65" s="38" t="s">
        <v>123</v>
      </c>
      <c r="K65" s="38" t="s">
        <v>432</v>
      </c>
      <c r="L65" s="38" t="s">
        <v>433</v>
      </c>
      <c r="M65" s="38" t="s">
        <v>470</v>
      </c>
    </row>
    <row r="66" spans="1:13" ht="17.649999999999999" customHeight="1" x14ac:dyDescent="0.55000000000000004">
      <c r="A66" s="38">
        <v>65</v>
      </c>
      <c r="B66" s="38" t="s">
        <v>471</v>
      </c>
      <c r="C66" s="38" t="s">
        <v>361</v>
      </c>
      <c r="D66" s="38" t="s">
        <v>363</v>
      </c>
      <c r="E66" s="38" t="s">
        <v>472</v>
      </c>
      <c r="F66" s="38" t="s">
        <v>473</v>
      </c>
      <c r="G66" s="38" t="s">
        <v>365</v>
      </c>
      <c r="H66" s="38" t="s">
        <v>366</v>
      </c>
      <c r="I66" s="38" t="s">
        <v>474</v>
      </c>
      <c r="J66" s="38" t="s">
        <v>123</v>
      </c>
      <c r="K66" s="38" t="s">
        <v>368</v>
      </c>
      <c r="L66" s="38" t="s">
        <v>369</v>
      </c>
      <c r="M66" s="38" t="s">
        <v>475</v>
      </c>
    </row>
    <row r="67" spans="1:13" ht="17.649999999999999" customHeight="1" x14ac:dyDescent="0.55000000000000004">
      <c r="A67" s="38">
        <v>66</v>
      </c>
      <c r="B67" s="38" t="s">
        <v>476</v>
      </c>
      <c r="C67" s="38" t="s">
        <v>425</v>
      </c>
      <c r="D67" s="38" t="s">
        <v>427</v>
      </c>
      <c r="E67" s="38" t="s">
        <v>477</v>
      </c>
      <c r="F67" s="38" t="s">
        <v>338</v>
      </c>
      <c r="G67" s="38" t="s">
        <v>429</v>
      </c>
      <c r="H67" s="38" t="s">
        <v>430</v>
      </c>
      <c r="I67" s="38" t="s">
        <v>478</v>
      </c>
      <c r="J67" s="38" t="s">
        <v>123</v>
      </c>
      <c r="K67" s="38" t="s">
        <v>432</v>
      </c>
      <c r="L67" s="38" t="s">
        <v>433</v>
      </c>
      <c r="M67" s="38" t="s">
        <v>479</v>
      </c>
    </row>
    <row r="68" spans="1:13" ht="17.649999999999999" customHeight="1" x14ac:dyDescent="0.55000000000000004">
      <c r="A68" s="38">
        <v>67</v>
      </c>
      <c r="B68" s="38" t="s">
        <v>480</v>
      </c>
      <c r="C68" s="38" t="s">
        <v>139</v>
      </c>
      <c r="D68" s="38" t="s">
        <v>141</v>
      </c>
      <c r="E68" s="38" t="s">
        <v>333</v>
      </c>
      <c r="F68" s="38" t="s">
        <v>318</v>
      </c>
      <c r="G68" s="38" t="s">
        <v>143</v>
      </c>
      <c r="H68" s="38" t="s">
        <v>144</v>
      </c>
      <c r="I68" s="38" t="s">
        <v>481</v>
      </c>
      <c r="J68" s="38" t="s">
        <v>123</v>
      </c>
      <c r="K68" s="38" t="s">
        <v>146</v>
      </c>
      <c r="L68" s="38" t="s">
        <v>147</v>
      </c>
      <c r="M68" s="38" t="s">
        <v>482</v>
      </c>
    </row>
    <row r="69" spans="1:13" ht="17.649999999999999" customHeight="1" x14ac:dyDescent="0.55000000000000004">
      <c r="A69" s="38">
        <v>68</v>
      </c>
      <c r="B69" s="38" t="s">
        <v>483</v>
      </c>
      <c r="C69" s="38" t="s">
        <v>425</v>
      </c>
      <c r="D69" s="38" t="s">
        <v>427</v>
      </c>
      <c r="E69" s="38" t="s">
        <v>484</v>
      </c>
      <c r="F69" s="38" t="s">
        <v>162</v>
      </c>
      <c r="G69" s="38" t="s">
        <v>429</v>
      </c>
      <c r="H69" s="38" t="s">
        <v>430</v>
      </c>
      <c r="I69" s="38" t="s">
        <v>485</v>
      </c>
      <c r="J69" s="38" t="s">
        <v>123</v>
      </c>
      <c r="K69" s="38" t="s">
        <v>432</v>
      </c>
      <c r="L69" s="38" t="s">
        <v>433</v>
      </c>
      <c r="M69" s="38" t="s">
        <v>486</v>
      </c>
    </row>
    <row r="70" spans="1:13" ht="17.649999999999999" customHeight="1" x14ac:dyDescent="0.55000000000000004">
      <c r="A70" s="38">
        <v>69</v>
      </c>
      <c r="B70" s="38" t="s">
        <v>487</v>
      </c>
      <c r="C70" s="38" t="s">
        <v>150</v>
      </c>
      <c r="D70" s="38" t="s">
        <v>152</v>
      </c>
      <c r="E70" s="38" t="s">
        <v>488</v>
      </c>
      <c r="F70" s="38" t="s">
        <v>352</v>
      </c>
      <c r="G70" s="38" t="s">
        <v>154</v>
      </c>
      <c r="H70" s="38" t="s">
        <v>155</v>
      </c>
      <c r="I70" s="38" t="s">
        <v>489</v>
      </c>
      <c r="J70" s="38" t="s">
        <v>123</v>
      </c>
      <c r="K70" s="38" t="s">
        <v>157</v>
      </c>
      <c r="L70" s="38" t="s">
        <v>158</v>
      </c>
      <c r="M70" s="38" t="s">
        <v>490</v>
      </c>
    </row>
    <row r="71" spans="1:13" ht="17.649999999999999" customHeight="1" x14ac:dyDescent="0.55000000000000004">
      <c r="A71" s="38">
        <v>70</v>
      </c>
      <c r="B71" s="38" t="s">
        <v>491</v>
      </c>
      <c r="C71" s="38" t="s">
        <v>171</v>
      </c>
      <c r="D71" s="38" t="s">
        <v>173</v>
      </c>
      <c r="E71" s="38" t="s">
        <v>492</v>
      </c>
      <c r="F71" s="38" t="s">
        <v>493</v>
      </c>
      <c r="G71" s="38" t="s">
        <v>175</v>
      </c>
      <c r="H71" s="38" t="s">
        <v>176</v>
      </c>
      <c r="I71" s="38" t="s">
        <v>494</v>
      </c>
      <c r="J71" s="38" t="s">
        <v>178</v>
      </c>
      <c r="K71" s="38" t="s">
        <v>179</v>
      </c>
      <c r="L71" s="38" t="s">
        <v>180</v>
      </c>
      <c r="M71" s="38" t="s">
        <v>495</v>
      </c>
    </row>
    <row r="72" spans="1:13" ht="17.649999999999999" customHeight="1" x14ac:dyDescent="0.55000000000000004">
      <c r="A72" s="38">
        <v>71</v>
      </c>
      <c r="B72" s="38" t="s">
        <v>496</v>
      </c>
      <c r="C72" s="38" t="s">
        <v>139</v>
      </c>
      <c r="D72" s="38" t="s">
        <v>141</v>
      </c>
      <c r="E72" s="38" t="s">
        <v>372</v>
      </c>
      <c r="F72" s="38" t="s">
        <v>497</v>
      </c>
      <c r="G72" s="38" t="s">
        <v>143</v>
      </c>
      <c r="H72" s="38" t="s">
        <v>144</v>
      </c>
      <c r="I72" s="38" t="s">
        <v>498</v>
      </c>
      <c r="J72" s="38" t="s">
        <v>123</v>
      </c>
      <c r="K72" s="38" t="s">
        <v>146</v>
      </c>
      <c r="L72" s="38" t="s">
        <v>147</v>
      </c>
      <c r="M72" s="38" t="s">
        <v>499</v>
      </c>
    </row>
    <row r="73" spans="1:13" ht="17.649999999999999" customHeight="1" x14ac:dyDescent="0.55000000000000004">
      <c r="A73" s="38">
        <v>72</v>
      </c>
      <c r="B73" s="38" t="s">
        <v>500</v>
      </c>
      <c r="C73" s="38" t="s">
        <v>116</v>
      </c>
      <c r="D73" s="38" t="s">
        <v>118</v>
      </c>
      <c r="E73" s="38" t="s">
        <v>117</v>
      </c>
      <c r="F73" s="38" t="s">
        <v>364</v>
      </c>
      <c r="G73" s="38" t="s">
        <v>120</v>
      </c>
      <c r="H73" s="38" t="s">
        <v>121</v>
      </c>
      <c r="I73" s="38" t="s">
        <v>501</v>
      </c>
      <c r="J73" s="38" t="s">
        <v>123</v>
      </c>
      <c r="K73" s="38" t="s">
        <v>124</v>
      </c>
      <c r="L73" s="38" t="s">
        <v>125</v>
      </c>
      <c r="M73" s="38" t="s">
        <v>502</v>
      </c>
    </row>
    <row r="74" spans="1:13" ht="17.649999999999999" customHeight="1" x14ac:dyDescent="0.55000000000000004">
      <c r="A74" s="38">
        <v>73</v>
      </c>
      <c r="B74" s="38" t="s">
        <v>503</v>
      </c>
      <c r="C74" s="38" t="s">
        <v>116</v>
      </c>
      <c r="D74" s="38" t="s">
        <v>118</v>
      </c>
      <c r="E74" s="38" t="s">
        <v>504</v>
      </c>
      <c r="F74" s="38" t="s">
        <v>505</v>
      </c>
      <c r="G74" s="38" t="s">
        <v>120</v>
      </c>
      <c r="H74" s="38" t="s">
        <v>121</v>
      </c>
      <c r="I74" s="38" t="s">
        <v>506</v>
      </c>
      <c r="J74" s="38" t="s">
        <v>123</v>
      </c>
      <c r="K74" s="38" t="s">
        <v>124</v>
      </c>
      <c r="L74" s="38" t="s">
        <v>125</v>
      </c>
      <c r="M74" s="38" t="s">
        <v>507</v>
      </c>
    </row>
    <row r="75" spans="1:13" ht="17.649999999999999" customHeight="1" x14ac:dyDescent="0.55000000000000004">
      <c r="A75" s="38">
        <v>74</v>
      </c>
      <c r="B75" s="38" t="s">
        <v>508</v>
      </c>
      <c r="C75" s="38" t="s">
        <v>220</v>
      </c>
      <c r="D75" s="38" t="s">
        <v>221</v>
      </c>
      <c r="E75" s="38" t="s">
        <v>380</v>
      </c>
      <c r="F75" s="38" t="s">
        <v>153</v>
      </c>
      <c r="G75" s="38" t="s">
        <v>222</v>
      </c>
      <c r="H75" s="38" t="s">
        <v>223</v>
      </c>
      <c r="I75" s="38" t="s">
        <v>509</v>
      </c>
      <c r="J75" s="38" t="s">
        <v>123</v>
      </c>
      <c r="K75" s="38" t="s">
        <v>225</v>
      </c>
      <c r="L75" s="38" t="s">
        <v>226</v>
      </c>
      <c r="M75" s="38" t="s">
        <v>510</v>
      </c>
    </row>
    <row r="76" spans="1:13" ht="17.649999999999999" customHeight="1" x14ac:dyDescent="0.55000000000000004">
      <c r="A76" s="38">
        <v>75</v>
      </c>
      <c r="B76" s="38" t="s">
        <v>511</v>
      </c>
      <c r="C76" s="38" t="s">
        <v>425</v>
      </c>
      <c r="D76" s="38" t="s">
        <v>427</v>
      </c>
      <c r="E76" s="38" t="s">
        <v>512</v>
      </c>
      <c r="F76" s="38" t="s">
        <v>162</v>
      </c>
      <c r="G76" s="38" t="s">
        <v>429</v>
      </c>
      <c r="H76" s="38" t="s">
        <v>430</v>
      </c>
      <c r="I76" s="38" t="s">
        <v>513</v>
      </c>
      <c r="J76" s="38" t="s">
        <v>123</v>
      </c>
      <c r="K76" s="38" t="s">
        <v>432</v>
      </c>
      <c r="L76" s="38" t="s">
        <v>433</v>
      </c>
      <c r="M76" s="38" t="s">
        <v>514</v>
      </c>
    </row>
    <row r="77" spans="1:13" ht="17.649999999999999" customHeight="1" x14ac:dyDescent="0.55000000000000004">
      <c r="A77" s="38">
        <v>76</v>
      </c>
      <c r="B77" s="38" t="s">
        <v>515</v>
      </c>
      <c r="C77" s="38" t="s">
        <v>220</v>
      </c>
      <c r="D77" s="38" t="s">
        <v>221</v>
      </c>
      <c r="E77" s="38" t="s">
        <v>233</v>
      </c>
      <c r="F77" s="38" t="s">
        <v>516</v>
      </c>
      <c r="G77" s="38" t="s">
        <v>222</v>
      </c>
      <c r="H77" s="38" t="s">
        <v>223</v>
      </c>
      <c r="I77" s="38" t="s">
        <v>517</v>
      </c>
      <c r="J77" s="38" t="s">
        <v>123</v>
      </c>
      <c r="K77" s="38" t="s">
        <v>225</v>
      </c>
      <c r="L77" s="38" t="s">
        <v>226</v>
      </c>
      <c r="M77" s="38" t="s">
        <v>518</v>
      </c>
    </row>
    <row r="78" spans="1:13" ht="17.649999999999999" customHeight="1" x14ac:dyDescent="0.55000000000000004">
      <c r="A78" s="38">
        <v>77</v>
      </c>
      <c r="B78" s="38" t="s">
        <v>519</v>
      </c>
      <c r="C78" s="38" t="s">
        <v>139</v>
      </c>
      <c r="D78" s="38" t="s">
        <v>141</v>
      </c>
      <c r="E78" s="38" t="s">
        <v>372</v>
      </c>
      <c r="F78" s="38" t="s">
        <v>318</v>
      </c>
      <c r="G78" s="38" t="s">
        <v>143</v>
      </c>
      <c r="H78" s="38" t="s">
        <v>144</v>
      </c>
      <c r="I78" s="38" t="s">
        <v>520</v>
      </c>
      <c r="J78" s="38" t="s">
        <v>123</v>
      </c>
      <c r="K78" s="38" t="s">
        <v>146</v>
      </c>
      <c r="L78" s="38" t="s">
        <v>147</v>
      </c>
      <c r="M78" s="38" t="s">
        <v>521</v>
      </c>
    </row>
    <row r="79" spans="1:13" ht="17.649999999999999" customHeight="1" x14ac:dyDescent="0.55000000000000004">
      <c r="A79" s="38">
        <v>78</v>
      </c>
      <c r="B79" s="38" t="s">
        <v>522</v>
      </c>
      <c r="C79" s="38" t="s">
        <v>116</v>
      </c>
      <c r="D79" s="38" t="s">
        <v>118</v>
      </c>
      <c r="E79" s="38" t="s">
        <v>117</v>
      </c>
      <c r="F79" s="38" t="s">
        <v>523</v>
      </c>
      <c r="G79" s="38" t="s">
        <v>120</v>
      </c>
      <c r="H79" s="38" t="s">
        <v>121</v>
      </c>
      <c r="I79" s="38" t="s">
        <v>524</v>
      </c>
      <c r="J79" s="38" t="s">
        <v>123</v>
      </c>
      <c r="K79" s="38" t="s">
        <v>124</v>
      </c>
      <c r="L79" s="38" t="s">
        <v>125</v>
      </c>
      <c r="M79" s="38" t="s">
        <v>525</v>
      </c>
    </row>
    <row r="80" spans="1:13" ht="17.649999999999999" customHeight="1" x14ac:dyDescent="0.55000000000000004">
      <c r="A80" s="38">
        <v>79</v>
      </c>
      <c r="B80" s="38" t="s">
        <v>526</v>
      </c>
      <c r="C80" s="38" t="s">
        <v>128</v>
      </c>
      <c r="D80" s="38" t="s">
        <v>130</v>
      </c>
      <c r="E80" s="38" t="s">
        <v>129</v>
      </c>
      <c r="F80" s="38" t="s">
        <v>527</v>
      </c>
      <c r="G80" s="38" t="s">
        <v>132</v>
      </c>
      <c r="H80" s="38" t="s">
        <v>133</v>
      </c>
      <c r="I80" s="38" t="s">
        <v>528</v>
      </c>
      <c r="J80" s="38" t="s">
        <v>123</v>
      </c>
      <c r="K80" s="38" t="s">
        <v>135</v>
      </c>
      <c r="L80" s="38" t="s">
        <v>136</v>
      </c>
      <c r="M80" s="38" t="s">
        <v>529</v>
      </c>
    </row>
    <row r="81" spans="1:13" ht="17.649999999999999" customHeight="1" x14ac:dyDescent="0.55000000000000004">
      <c r="A81" s="38">
        <v>80</v>
      </c>
      <c r="B81" s="38" t="s">
        <v>530</v>
      </c>
      <c r="C81" s="38" t="s">
        <v>139</v>
      </c>
      <c r="D81" s="38" t="s">
        <v>141</v>
      </c>
      <c r="E81" s="38" t="s">
        <v>398</v>
      </c>
      <c r="F81" s="38" t="s">
        <v>318</v>
      </c>
      <c r="G81" s="38" t="s">
        <v>143</v>
      </c>
      <c r="H81" s="38" t="s">
        <v>144</v>
      </c>
      <c r="I81" s="38" t="s">
        <v>531</v>
      </c>
      <c r="J81" s="38" t="s">
        <v>123</v>
      </c>
      <c r="K81" s="38" t="s">
        <v>146</v>
      </c>
      <c r="L81" s="38" t="s">
        <v>147</v>
      </c>
      <c r="M81" s="38" t="s">
        <v>532</v>
      </c>
    </row>
    <row r="82" spans="1:13" ht="17.649999999999999" customHeight="1" x14ac:dyDescent="0.55000000000000004">
      <c r="A82" s="38">
        <v>81</v>
      </c>
      <c r="B82" s="38" t="s">
        <v>533</v>
      </c>
      <c r="C82" s="38" t="s">
        <v>116</v>
      </c>
      <c r="D82" s="38" t="s">
        <v>118</v>
      </c>
      <c r="E82" s="38" t="s">
        <v>117</v>
      </c>
      <c r="F82" s="38" t="s">
        <v>262</v>
      </c>
      <c r="G82" s="38" t="s">
        <v>120</v>
      </c>
      <c r="H82" s="38" t="s">
        <v>121</v>
      </c>
      <c r="I82" s="38" t="s">
        <v>534</v>
      </c>
      <c r="J82" s="38" t="s">
        <v>123</v>
      </c>
      <c r="K82" s="38" t="s">
        <v>124</v>
      </c>
      <c r="L82" s="38" t="s">
        <v>125</v>
      </c>
      <c r="M82" s="38" t="s">
        <v>535</v>
      </c>
    </row>
    <row r="83" spans="1:13" ht="17.649999999999999" customHeight="1" x14ac:dyDescent="0.55000000000000004">
      <c r="A83" s="38">
        <v>82</v>
      </c>
      <c r="B83" s="38" t="s">
        <v>536</v>
      </c>
      <c r="C83" s="38" t="s">
        <v>139</v>
      </c>
      <c r="D83" s="38" t="s">
        <v>141</v>
      </c>
      <c r="E83" s="38" t="s">
        <v>372</v>
      </c>
      <c r="F83" s="38" t="s">
        <v>318</v>
      </c>
      <c r="G83" s="38" t="s">
        <v>143</v>
      </c>
      <c r="H83" s="38" t="s">
        <v>144</v>
      </c>
      <c r="I83" s="38" t="s">
        <v>537</v>
      </c>
      <c r="J83" s="38" t="s">
        <v>123</v>
      </c>
      <c r="K83" s="38" t="s">
        <v>146</v>
      </c>
      <c r="L83" s="38" t="s">
        <v>147</v>
      </c>
      <c r="M83" s="38" t="s">
        <v>538</v>
      </c>
    </row>
    <row r="84" spans="1:13" ht="17.649999999999999" customHeight="1" x14ac:dyDescent="0.55000000000000004">
      <c r="A84" s="38">
        <v>83</v>
      </c>
      <c r="B84" s="38" t="s">
        <v>539</v>
      </c>
      <c r="C84" s="38" t="s">
        <v>292</v>
      </c>
      <c r="D84" s="38" t="s">
        <v>294</v>
      </c>
      <c r="E84" s="38" t="s">
        <v>540</v>
      </c>
      <c r="F84" s="38" t="s">
        <v>338</v>
      </c>
      <c r="G84" s="38" t="s">
        <v>295</v>
      </c>
      <c r="H84" s="38" t="s">
        <v>296</v>
      </c>
      <c r="I84" s="38" t="s">
        <v>541</v>
      </c>
      <c r="J84" s="38" t="s">
        <v>123</v>
      </c>
      <c r="K84" s="38" t="s">
        <v>298</v>
      </c>
      <c r="L84" s="38" t="s">
        <v>299</v>
      </c>
      <c r="M84" s="38" t="s">
        <v>542</v>
      </c>
    </row>
    <row r="85" spans="1:13" ht="17.649999999999999" customHeight="1" x14ac:dyDescent="0.55000000000000004">
      <c r="A85" s="38">
        <v>84</v>
      </c>
      <c r="B85" s="38" t="s">
        <v>543</v>
      </c>
      <c r="C85" s="38" t="s">
        <v>361</v>
      </c>
      <c r="D85" s="38" t="s">
        <v>363</v>
      </c>
      <c r="E85" s="38" t="s">
        <v>384</v>
      </c>
      <c r="F85" s="38" t="s">
        <v>385</v>
      </c>
      <c r="G85" s="38" t="s">
        <v>365</v>
      </c>
      <c r="H85" s="38" t="s">
        <v>366</v>
      </c>
      <c r="I85" s="38" t="s">
        <v>544</v>
      </c>
      <c r="J85" s="38" t="s">
        <v>123</v>
      </c>
      <c r="K85" s="38" t="s">
        <v>368</v>
      </c>
      <c r="L85" s="38" t="s">
        <v>369</v>
      </c>
      <c r="M85" s="38" t="s">
        <v>545</v>
      </c>
    </row>
    <row r="86" spans="1:13" ht="17.649999999999999" customHeight="1" x14ac:dyDescent="0.55000000000000004">
      <c r="A86" s="38">
        <v>85</v>
      </c>
      <c r="B86" s="38" t="s">
        <v>546</v>
      </c>
      <c r="C86" s="38" t="s">
        <v>116</v>
      </c>
      <c r="D86" s="38" t="s">
        <v>118</v>
      </c>
      <c r="E86" s="38" t="s">
        <v>322</v>
      </c>
      <c r="F86" s="38" t="s">
        <v>323</v>
      </c>
      <c r="G86" s="38" t="s">
        <v>120</v>
      </c>
      <c r="H86" s="38" t="s">
        <v>121</v>
      </c>
      <c r="I86" s="38" t="s">
        <v>547</v>
      </c>
      <c r="J86" s="38" t="s">
        <v>123</v>
      </c>
      <c r="K86" s="38" t="s">
        <v>124</v>
      </c>
      <c r="L86" s="38" t="s">
        <v>125</v>
      </c>
      <c r="M86" s="38" t="s">
        <v>548</v>
      </c>
    </row>
    <row r="87" spans="1:13" ht="17.649999999999999" customHeight="1" x14ac:dyDescent="0.55000000000000004">
      <c r="A87" s="38">
        <v>86</v>
      </c>
      <c r="B87" s="38" t="s">
        <v>549</v>
      </c>
      <c r="C87" s="38" t="s">
        <v>183</v>
      </c>
      <c r="D87" s="38" t="s">
        <v>185</v>
      </c>
      <c r="E87" s="38" t="s">
        <v>550</v>
      </c>
      <c r="F87" s="38" t="s">
        <v>318</v>
      </c>
      <c r="G87" s="38" t="s">
        <v>187</v>
      </c>
      <c r="H87" s="38" t="s">
        <v>188</v>
      </c>
      <c r="I87" s="38" t="s">
        <v>551</v>
      </c>
      <c r="J87" s="38" t="s">
        <v>123</v>
      </c>
      <c r="K87" s="38" t="s">
        <v>190</v>
      </c>
      <c r="L87" s="38" t="s">
        <v>191</v>
      </c>
      <c r="M87" s="38" t="s">
        <v>552</v>
      </c>
    </row>
    <row r="88" spans="1:13" ht="17.649999999999999" customHeight="1" x14ac:dyDescent="0.55000000000000004">
      <c r="A88" s="38">
        <v>87</v>
      </c>
      <c r="B88" s="38" t="s">
        <v>553</v>
      </c>
      <c r="C88" s="38" t="s">
        <v>116</v>
      </c>
      <c r="D88" s="38" t="s">
        <v>118</v>
      </c>
      <c r="E88" s="38" t="s">
        <v>117</v>
      </c>
      <c r="F88" s="38" t="s">
        <v>554</v>
      </c>
      <c r="G88" s="38" t="s">
        <v>120</v>
      </c>
      <c r="H88" s="38" t="s">
        <v>121</v>
      </c>
      <c r="I88" s="38" t="s">
        <v>555</v>
      </c>
      <c r="J88" s="38" t="s">
        <v>123</v>
      </c>
      <c r="K88" s="38" t="s">
        <v>124</v>
      </c>
      <c r="L88" s="38" t="s">
        <v>125</v>
      </c>
      <c r="M88" s="38" t="s">
        <v>556</v>
      </c>
    </row>
    <row r="89" spans="1:13" ht="17.649999999999999" customHeight="1" x14ac:dyDescent="0.55000000000000004">
      <c r="A89" s="38">
        <v>88</v>
      </c>
      <c r="B89" s="38" t="s">
        <v>557</v>
      </c>
      <c r="C89" s="38" t="s">
        <v>183</v>
      </c>
      <c r="D89" s="38" t="s">
        <v>185</v>
      </c>
      <c r="E89" s="38" t="s">
        <v>558</v>
      </c>
      <c r="F89" s="38" t="s">
        <v>318</v>
      </c>
      <c r="G89" s="38" t="s">
        <v>187</v>
      </c>
      <c r="H89" s="38" t="s">
        <v>188</v>
      </c>
      <c r="I89" s="38" t="s">
        <v>559</v>
      </c>
      <c r="J89" s="38" t="s">
        <v>123</v>
      </c>
      <c r="K89" s="38" t="s">
        <v>190</v>
      </c>
      <c r="L89" s="38" t="s">
        <v>191</v>
      </c>
      <c r="M89" s="38" t="s">
        <v>560</v>
      </c>
    </row>
    <row r="90" spans="1:13" ht="17.649999999999999" customHeight="1" x14ac:dyDescent="0.55000000000000004">
      <c r="A90" s="38">
        <v>89</v>
      </c>
      <c r="B90" s="38" t="s">
        <v>561</v>
      </c>
      <c r="C90" s="38" t="s">
        <v>425</v>
      </c>
      <c r="D90" s="38" t="s">
        <v>427</v>
      </c>
      <c r="E90" s="38" t="s">
        <v>562</v>
      </c>
      <c r="F90" s="38" t="s">
        <v>364</v>
      </c>
      <c r="G90" s="38" t="s">
        <v>429</v>
      </c>
      <c r="H90" s="38" t="s">
        <v>430</v>
      </c>
      <c r="I90" s="38" t="s">
        <v>563</v>
      </c>
      <c r="J90" s="38" t="s">
        <v>123</v>
      </c>
      <c r="K90" s="38" t="s">
        <v>432</v>
      </c>
      <c r="L90" s="38" t="s">
        <v>433</v>
      </c>
      <c r="M90" s="38" t="s">
        <v>564</v>
      </c>
    </row>
    <row r="91" spans="1:13" ht="26.4" customHeight="1" x14ac:dyDescent="0.55000000000000004">
      <c r="A91" s="38">
        <v>90</v>
      </c>
      <c r="B91" s="38" t="s">
        <v>565</v>
      </c>
      <c r="C91" s="38" t="s">
        <v>251</v>
      </c>
      <c r="D91" s="38" t="s">
        <v>253</v>
      </c>
      <c r="E91" s="38" t="s">
        <v>566</v>
      </c>
      <c r="F91" s="38" t="s">
        <v>567</v>
      </c>
      <c r="G91" s="38" t="s">
        <v>255</v>
      </c>
      <c r="H91" s="38" t="s">
        <v>256</v>
      </c>
      <c r="I91" s="38" t="s">
        <v>568</v>
      </c>
      <c r="J91" s="38" t="s">
        <v>123</v>
      </c>
      <c r="K91" s="38" t="s">
        <v>258</v>
      </c>
      <c r="L91" s="38" t="s">
        <v>259</v>
      </c>
      <c r="M91" s="38" t="s">
        <v>569</v>
      </c>
    </row>
  </sheetData>
  <phoneticPr fontId="2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/>
  </sheetViews>
  <sheetFormatPr defaultRowHeight="18" x14ac:dyDescent="0.55000000000000004"/>
  <cols>
    <col min="1" max="1" width="9" customWidth="1"/>
    <col min="2" max="2" width="10" customWidth="1"/>
    <col min="3" max="3" width="26" customWidth="1"/>
    <col min="4" max="4" width="52" customWidth="1"/>
    <col min="5" max="5" width="4" customWidth="1"/>
    <col min="6" max="6" width="18" customWidth="1"/>
    <col min="7" max="7" width="24" customWidth="1"/>
  </cols>
  <sheetData>
    <row r="1" spans="1:7" ht="10" customHeight="1" x14ac:dyDescent="0.55000000000000004">
      <c r="A1" s="45" t="s">
        <v>70</v>
      </c>
      <c r="B1" s="45" t="s">
        <v>659</v>
      </c>
      <c r="C1" s="45" t="s">
        <v>106</v>
      </c>
      <c r="D1" s="45" t="s">
        <v>69</v>
      </c>
      <c r="E1" s="45"/>
      <c r="F1" s="45" t="s">
        <v>660</v>
      </c>
      <c r="G1" s="45" t="s">
        <v>661</v>
      </c>
    </row>
    <row r="2" spans="1:7" ht="17.649999999999999" customHeight="1" x14ac:dyDescent="0.55000000000000004">
      <c r="A2" s="38" t="s">
        <v>116</v>
      </c>
      <c r="B2" s="38">
        <f>COUNTIF('01_テスト結果一覧'!$D$7:$D$96,A2)</f>
        <v>16</v>
      </c>
      <c r="C2" s="38" t="s">
        <v>118</v>
      </c>
      <c r="D2" s="38" t="s">
        <v>662</v>
      </c>
      <c r="E2" s="38"/>
      <c r="F2" s="38" t="s">
        <v>663</v>
      </c>
      <c r="G2" s="38">
        <f>SUM(B2:B14)</f>
        <v>90</v>
      </c>
    </row>
    <row r="3" spans="1:7" ht="10" customHeight="1" x14ac:dyDescent="0.55000000000000004">
      <c r="A3" s="38" t="s">
        <v>128</v>
      </c>
      <c r="B3" s="38">
        <f>COUNTIF('01_テスト結果一覧'!$D$7:$D$96,A3)</f>
        <v>8</v>
      </c>
      <c r="C3" s="38" t="s">
        <v>130</v>
      </c>
      <c r="D3" s="38" t="s">
        <v>664</v>
      </c>
      <c r="E3" s="38"/>
      <c r="F3" s="38" t="s">
        <v>665</v>
      </c>
      <c r="G3" s="38">
        <f>COUNTA(A2:A14)</f>
        <v>13</v>
      </c>
    </row>
    <row r="4" spans="1:7" ht="17.649999999999999" customHeight="1" x14ac:dyDescent="0.55000000000000004">
      <c r="A4" s="38" t="s">
        <v>139</v>
      </c>
      <c r="B4" s="38">
        <f>COUNTIF('01_テスト結果一覧'!$D$7:$D$96,A4)</f>
        <v>14</v>
      </c>
      <c r="C4" s="38" t="s">
        <v>141</v>
      </c>
      <c r="D4" s="38" t="s">
        <v>666</v>
      </c>
      <c r="E4" s="38"/>
      <c r="F4" s="38" t="s">
        <v>667</v>
      </c>
      <c r="G4" s="38">
        <f>COUNTIF('07_画像基準再分類_変更一覧'!$L$2:$L$91,"変更")</f>
        <v>89</v>
      </c>
    </row>
    <row r="5" spans="1:7" ht="10" customHeight="1" x14ac:dyDescent="0.55000000000000004">
      <c r="A5" s="38" t="s">
        <v>220</v>
      </c>
      <c r="B5" s="38">
        <f>COUNTIF('01_テスト結果一覧'!$D$7:$D$96,A5)</f>
        <v>7</v>
      </c>
      <c r="C5" s="38" t="s">
        <v>221</v>
      </c>
      <c r="D5" s="38" t="s">
        <v>668</v>
      </c>
      <c r="E5" s="38"/>
      <c r="F5" s="38" t="s">
        <v>669</v>
      </c>
      <c r="G5" s="38">
        <f>COUNTIF('07_画像基準再分類_変更一覧'!$L$2:$L$91,"維持")</f>
        <v>1</v>
      </c>
    </row>
    <row r="6" spans="1:7" ht="10" customHeight="1" x14ac:dyDescent="0.55000000000000004">
      <c r="A6" s="38" t="s">
        <v>171</v>
      </c>
      <c r="B6" s="38">
        <f>COUNTIF('01_テスト結果一覧'!$D$7:$D$96,A6)</f>
        <v>4</v>
      </c>
      <c r="C6" s="38" t="s">
        <v>173</v>
      </c>
      <c r="D6" s="38" t="s">
        <v>670</v>
      </c>
      <c r="E6" s="38"/>
      <c r="F6" s="38" t="s">
        <v>671</v>
      </c>
      <c r="G6" s="38" t="s">
        <v>672</v>
      </c>
    </row>
    <row r="7" spans="1:7" ht="10" customHeight="1" x14ac:dyDescent="0.55000000000000004">
      <c r="A7" s="38" t="s">
        <v>183</v>
      </c>
      <c r="B7" s="38">
        <f>COUNTIF('01_テスト結果一覧'!$D$7:$D$96,A7)</f>
        <v>9</v>
      </c>
      <c r="C7" s="38" t="s">
        <v>185</v>
      </c>
      <c r="D7" s="38" t="s">
        <v>673</v>
      </c>
      <c r="E7" s="38"/>
      <c r="F7" s="38"/>
      <c r="G7" s="38"/>
    </row>
    <row r="8" spans="1:7" ht="10" customHeight="1" x14ac:dyDescent="0.55000000000000004">
      <c r="A8" s="38" t="s">
        <v>150</v>
      </c>
      <c r="B8" s="38">
        <f>COUNTIF('01_テスト結果一覧'!$D$7:$D$96,A8)</f>
        <v>9</v>
      </c>
      <c r="C8" s="38" t="s">
        <v>152</v>
      </c>
      <c r="D8" s="38" t="s">
        <v>674</v>
      </c>
      <c r="E8" s="38"/>
      <c r="F8" s="38"/>
      <c r="G8" s="38"/>
    </row>
    <row r="9" spans="1:7" ht="10" customHeight="1" x14ac:dyDescent="0.55000000000000004">
      <c r="A9" s="38" t="s">
        <v>292</v>
      </c>
      <c r="B9" s="38">
        <f>COUNTIF('01_テスト結果一覧'!$D$7:$D$96,A9)</f>
        <v>3</v>
      </c>
      <c r="C9" s="38" t="s">
        <v>294</v>
      </c>
      <c r="D9" s="38" t="s">
        <v>675</v>
      </c>
      <c r="E9" s="38"/>
      <c r="F9" s="38"/>
      <c r="G9" s="38"/>
    </row>
    <row r="10" spans="1:7" ht="10" customHeight="1" x14ac:dyDescent="0.55000000000000004">
      <c r="A10" s="38" t="s">
        <v>209</v>
      </c>
      <c r="B10" s="38">
        <f>COUNTIF('01_テスト結果一覧'!$D$7:$D$96,A10)</f>
        <v>3</v>
      </c>
      <c r="C10" s="38" t="s">
        <v>211</v>
      </c>
      <c r="D10" s="38" t="s">
        <v>676</v>
      </c>
      <c r="E10" s="38"/>
      <c r="F10" s="38"/>
      <c r="G10" s="38"/>
    </row>
    <row r="11" spans="1:7" ht="10" customHeight="1" x14ac:dyDescent="0.55000000000000004">
      <c r="A11" s="38" t="s">
        <v>307</v>
      </c>
      <c r="B11" s="38">
        <f>COUNTIF('01_テスト結果一覧'!$D$7:$D$96,A11)</f>
        <v>1</v>
      </c>
      <c r="C11" s="38" t="s">
        <v>309</v>
      </c>
      <c r="D11" s="38" t="s">
        <v>306</v>
      </c>
      <c r="E11" s="38"/>
      <c r="F11" s="38"/>
      <c r="G11" s="38"/>
    </row>
    <row r="12" spans="1:7" ht="10" customHeight="1" x14ac:dyDescent="0.55000000000000004">
      <c r="A12" s="37" t="s">
        <v>361</v>
      </c>
      <c r="B12" s="37">
        <f>COUNTIF('01_テスト結果一覧'!$D$7:$D$96,A12)</f>
        <v>6</v>
      </c>
      <c r="C12" s="37" t="s">
        <v>363</v>
      </c>
      <c r="D12" s="37" t="s">
        <v>677</v>
      </c>
      <c r="E12" s="37"/>
      <c r="F12" s="37"/>
      <c r="G12" s="37"/>
    </row>
    <row r="13" spans="1:7" ht="10" customHeight="1" x14ac:dyDescent="0.55000000000000004">
      <c r="A13" s="37" t="s">
        <v>425</v>
      </c>
      <c r="B13" s="37">
        <f>COUNTIF('01_テスト結果一覧'!$D$7:$D$96,A13)</f>
        <v>6</v>
      </c>
      <c r="C13" s="37" t="s">
        <v>427</v>
      </c>
      <c r="D13" s="37" t="s">
        <v>678</v>
      </c>
      <c r="E13" s="37"/>
      <c r="F13" s="37"/>
      <c r="G13" s="37"/>
    </row>
    <row r="14" spans="1:7" ht="10" customHeight="1" x14ac:dyDescent="0.55000000000000004">
      <c r="A14" s="37" t="s">
        <v>251</v>
      </c>
      <c r="B14" s="37">
        <f>COUNTIF('01_テスト結果一覧'!$D$7:$D$96,A14)</f>
        <v>4</v>
      </c>
      <c r="C14" s="37" t="s">
        <v>253</v>
      </c>
      <c r="D14" s="37" t="s">
        <v>679</v>
      </c>
      <c r="E14" s="37"/>
      <c r="F14" s="37"/>
      <c r="G14" s="37"/>
    </row>
  </sheetData>
  <phoneticPr fontId="2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/>
  </sheetViews>
  <sheetFormatPr defaultRowHeight="18" x14ac:dyDescent="0.55000000000000004"/>
  <cols>
    <col min="1" max="1" width="22" customWidth="1"/>
    <col min="2" max="2" width="85" customWidth="1"/>
  </cols>
  <sheetData>
    <row r="1" spans="1:2" ht="25.65" customHeight="1" x14ac:dyDescent="0.55000000000000004">
      <c r="A1" s="39" t="s">
        <v>680</v>
      </c>
      <c r="B1" s="39"/>
    </row>
    <row r="2" spans="1:2" ht="17.649999999999999" customHeight="1" x14ac:dyDescent="0.55000000000000004">
      <c r="A2" s="42" t="s">
        <v>681</v>
      </c>
      <c r="B2" s="38" t="s">
        <v>682</v>
      </c>
    </row>
    <row r="3" spans="1:2" ht="26.4" customHeight="1" x14ac:dyDescent="0.55000000000000004">
      <c r="A3" s="42" t="s">
        <v>683</v>
      </c>
      <c r="B3" s="38" t="s">
        <v>684</v>
      </c>
    </row>
    <row r="4" spans="1:2" ht="10" customHeight="1" x14ac:dyDescent="0.55000000000000004">
      <c r="A4" s="42" t="s">
        <v>685</v>
      </c>
      <c r="B4" s="38" t="s">
        <v>686</v>
      </c>
    </row>
    <row r="5" spans="1:2" ht="26.4" customHeight="1" x14ac:dyDescent="0.55000000000000004">
      <c r="A5" s="42" t="s">
        <v>687</v>
      </c>
      <c r="B5" s="38" t="s">
        <v>688</v>
      </c>
    </row>
    <row r="6" spans="1:2" ht="17.649999999999999" customHeight="1" x14ac:dyDescent="0.55000000000000004">
      <c r="A6" s="42" t="s">
        <v>689</v>
      </c>
      <c r="B6" s="38" t="s">
        <v>690</v>
      </c>
    </row>
    <row r="7" spans="1:2" ht="26.4" customHeight="1" x14ac:dyDescent="0.55000000000000004">
      <c r="A7" s="42" t="s">
        <v>691</v>
      </c>
      <c r="B7" s="38" t="s">
        <v>692</v>
      </c>
    </row>
    <row r="8" spans="1:2" ht="17.649999999999999" customHeight="1" x14ac:dyDescent="0.55000000000000004">
      <c r="A8" s="42" t="s">
        <v>693</v>
      </c>
      <c r="B8" s="38" t="s">
        <v>694</v>
      </c>
    </row>
    <row r="9" spans="1:2" ht="17.649999999999999" customHeight="1" x14ac:dyDescent="0.55000000000000004">
      <c r="A9" s="42" t="s">
        <v>695</v>
      </c>
      <c r="B9" s="38" t="s">
        <v>696</v>
      </c>
    </row>
  </sheetData>
  <phoneticPr fontId="2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64"/>
  <sheetViews>
    <sheetView workbookViewId="0"/>
  </sheetViews>
  <sheetFormatPr defaultRowHeight="18" x14ac:dyDescent="0.55000000000000004"/>
  <cols>
    <col min="1" max="1" width="115" customWidth="1"/>
  </cols>
  <sheetData>
    <row r="1" spans="1:1" ht="14.65" customHeight="1" x14ac:dyDescent="0.55000000000000004">
      <c r="A1" s="39" t="s">
        <v>697</v>
      </c>
    </row>
    <row r="2" spans="1:1" ht="18.649999999999999" customHeight="1" x14ac:dyDescent="0.55000000000000004">
      <c r="A2" s="43" t="s">
        <v>698</v>
      </c>
    </row>
    <row r="3" spans="1:1" ht="14.65" customHeight="1" x14ac:dyDescent="0.55000000000000004">
      <c r="A3" s="38" t="s">
        <v>699</v>
      </c>
    </row>
    <row r="4" spans="1:1" ht="14.65" customHeight="1" x14ac:dyDescent="0.55000000000000004">
      <c r="A4" s="38"/>
    </row>
    <row r="5" spans="1:1" ht="18.649999999999999" customHeight="1" x14ac:dyDescent="0.55000000000000004">
      <c r="A5" s="43" t="s">
        <v>700</v>
      </c>
    </row>
    <row r="6" spans="1:1" ht="14.65" customHeight="1" x14ac:dyDescent="0.55000000000000004">
      <c r="A6" s="38" t="s">
        <v>701</v>
      </c>
    </row>
    <row r="7" spans="1:1" ht="14.65" customHeight="1" x14ac:dyDescent="0.55000000000000004">
      <c r="A7" s="38" t="s">
        <v>702</v>
      </c>
    </row>
    <row r="8" spans="1:1" ht="14.65" customHeight="1" x14ac:dyDescent="0.55000000000000004">
      <c r="A8" s="38" t="s">
        <v>703</v>
      </c>
    </row>
    <row r="9" spans="1:1" ht="14.65" customHeight="1" x14ac:dyDescent="0.55000000000000004">
      <c r="A9" s="38"/>
    </row>
    <row r="10" spans="1:1" ht="18.649999999999999" customHeight="1" x14ac:dyDescent="0.55000000000000004">
      <c r="A10" s="43" t="s">
        <v>704</v>
      </c>
    </row>
    <row r="11" spans="1:1" ht="14.65" customHeight="1" x14ac:dyDescent="0.55000000000000004">
      <c r="A11" s="38" t="s">
        <v>705</v>
      </c>
    </row>
    <row r="12" spans="1:1" ht="14.65" customHeight="1" x14ac:dyDescent="0.55000000000000004">
      <c r="A12" s="38" t="s">
        <v>706</v>
      </c>
    </row>
    <row r="13" spans="1:1" ht="14.65" customHeight="1" x14ac:dyDescent="0.55000000000000004">
      <c r="A13" s="38" t="s">
        <v>707</v>
      </c>
    </row>
    <row r="14" spans="1:1" ht="14.65" customHeight="1" x14ac:dyDescent="0.55000000000000004">
      <c r="A14" s="38" t="s">
        <v>708</v>
      </c>
    </row>
    <row r="15" spans="1:1" ht="14.65" customHeight="1" x14ac:dyDescent="0.55000000000000004">
      <c r="A15" s="38"/>
    </row>
    <row r="16" spans="1:1" ht="18.649999999999999" customHeight="1" x14ac:dyDescent="0.55000000000000004">
      <c r="A16" s="43" t="s">
        <v>709</v>
      </c>
    </row>
    <row r="17" spans="1:1" ht="14.65" customHeight="1" x14ac:dyDescent="0.55000000000000004">
      <c r="A17" s="38" t="s">
        <v>710</v>
      </c>
    </row>
    <row r="18" spans="1:1" ht="14.65" customHeight="1" x14ac:dyDescent="0.55000000000000004">
      <c r="A18" s="38" t="s">
        <v>711</v>
      </c>
    </row>
    <row r="19" spans="1:1" ht="14.65" customHeight="1" x14ac:dyDescent="0.55000000000000004">
      <c r="A19" s="38" t="s">
        <v>712</v>
      </c>
    </row>
    <row r="20" spans="1:1" ht="14.65" customHeight="1" x14ac:dyDescent="0.55000000000000004">
      <c r="A20" s="38" t="s">
        <v>713</v>
      </c>
    </row>
    <row r="21" spans="1:1" ht="14.65" customHeight="1" x14ac:dyDescent="0.55000000000000004">
      <c r="A21" s="38" t="s">
        <v>714</v>
      </c>
    </row>
    <row r="22" spans="1:1" ht="14.65" customHeight="1" x14ac:dyDescent="0.55000000000000004">
      <c r="A22" s="38"/>
    </row>
    <row r="23" spans="1:1" ht="18.649999999999999" customHeight="1" x14ac:dyDescent="0.55000000000000004">
      <c r="A23" s="43" t="s">
        <v>715</v>
      </c>
    </row>
    <row r="24" spans="1:1" ht="14.65" customHeight="1" x14ac:dyDescent="0.55000000000000004">
      <c r="A24" s="38" t="s">
        <v>716</v>
      </c>
    </row>
    <row r="25" spans="1:1" ht="14.65" customHeight="1" x14ac:dyDescent="0.55000000000000004">
      <c r="A25" s="38" t="s">
        <v>717</v>
      </c>
    </row>
    <row r="26" spans="1:1" ht="14.65" customHeight="1" x14ac:dyDescent="0.55000000000000004">
      <c r="A26" s="38" t="s">
        <v>718</v>
      </c>
    </row>
    <row r="27" spans="1:1" ht="14.65" customHeight="1" x14ac:dyDescent="0.55000000000000004">
      <c r="A27" s="38" t="s">
        <v>719</v>
      </c>
    </row>
    <row r="28" spans="1:1" ht="14.65" customHeight="1" x14ac:dyDescent="0.55000000000000004">
      <c r="A28" s="38" t="s">
        <v>720</v>
      </c>
    </row>
    <row r="29" spans="1:1" ht="14.65" customHeight="1" x14ac:dyDescent="0.55000000000000004">
      <c r="A29" s="38" t="s">
        <v>721</v>
      </c>
    </row>
    <row r="30" spans="1:1" ht="14.65" customHeight="1" x14ac:dyDescent="0.55000000000000004">
      <c r="A30" s="38" t="s">
        <v>722</v>
      </c>
    </row>
    <row r="31" spans="1:1" ht="14.65" customHeight="1" x14ac:dyDescent="0.55000000000000004">
      <c r="A31" s="38" t="s">
        <v>723</v>
      </c>
    </row>
    <row r="32" spans="1:1" ht="14.65" customHeight="1" x14ac:dyDescent="0.55000000000000004">
      <c r="A32" s="38" t="s">
        <v>724</v>
      </c>
    </row>
    <row r="33" spans="1:1" ht="14.65" customHeight="1" x14ac:dyDescent="0.55000000000000004">
      <c r="A33" s="38" t="s">
        <v>725</v>
      </c>
    </row>
    <row r="34" spans="1:1" ht="14.65" customHeight="1" x14ac:dyDescent="0.55000000000000004">
      <c r="A34" s="38" t="s">
        <v>726</v>
      </c>
    </row>
    <row r="35" spans="1:1" ht="14.65" customHeight="1" x14ac:dyDescent="0.55000000000000004">
      <c r="A35" s="38" t="s">
        <v>727</v>
      </c>
    </row>
    <row r="36" spans="1:1" ht="14.65" customHeight="1" x14ac:dyDescent="0.55000000000000004">
      <c r="A36" s="38" t="s">
        <v>728</v>
      </c>
    </row>
    <row r="37" spans="1:1" ht="14.65" customHeight="1" x14ac:dyDescent="0.55000000000000004">
      <c r="A37" s="38" t="s">
        <v>729</v>
      </c>
    </row>
    <row r="38" spans="1:1" ht="14.65" customHeight="1" x14ac:dyDescent="0.55000000000000004">
      <c r="A38" s="38" t="s">
        <v>730</v>
      </c>
    </row>
    <row r="39" spans="1:1" ht="14.65" customHeight="1" x14ac:dyDescent="0.55000000000000004">
      <c r="A39" s="38" t="s">
        <v>731</v>
      </c>
    </row>
    <row r="40" spans="1:1" ht="14.65" customHeight="1" x14ac:dyDescent="0.55000000000000004">
      <c r="A40" s="38" t="s">
        <v>732</v>
      </c>
    </row>
    <row r="41" spans="1:1" ht="14.65" customHeight="1" x14ac:dyDescent="0.55000000000000004">
      <c r="A41" s="38" t="s">
        <v>733</v>
      </c>
    </row>
    <row r="42" spans="1:1" ht="14.65" customHeight="1" x14ac:dyDescent="0.55000000000000004">
      <c r="A42" s="38" t="s">
        <v>734</v>
      </c>
    </row>
    <row r="43" spans="1:1" ht="14.65" customHeight="1" x14ac:dyDescent="0.55000000000000004">
      <c r="A43" s="38" t="s">
        <v>735</v>
      </c>
    </row>
    <row r="44" spans="1:1" ht="14.65" customHeight="1" x14ac:dyDescent="0.55000000000000004">
      <c r="A44" s="38" t="s">
        <v>736</v>
      </c>
    </row>
    <row r="45" spans="1:1" ht="14.65" customHeight="1" x14ac:dyDescent="0.55000000000000004">
      <c r="A45" s="38"/>
    </row>
    <row r="46" spans="1:1" ht="18.649999999999999" customHeight="1" x14ac:dyDescent="0.55000000000000004">
      <c r="A46" s="43" t="s">
        <v>737</v>
      </c>
    </row>
    <row r="47" spans="1:1" ht="14.65" customHeight="1" x14ac:dyDescent="0.55000000000000004">
      <c r="A47" s="38" t="s">
        <v>738</v>
      </c>
    </row>
    <row r="48" spans="1:1" ht="14.65" customHeight="1" x14ac:dyDescent="0.55000000000000004">
      <c r="A48" s="38" t="s">
        <v>739</v>
      </c>
    </row>
    <row r="49" spans="1:1" ht="14.65" customHeight="1" x14ac:dyDescent="0.55000000000000004">
      <c r="A49" s="38" t="s">
        <v>740</v>
      </c>
    </row>
    <row r="50" spans="1:1" ht="14.65" customHeight="1" x14ac:dyDescent="0.55000000000000004">
      <c r="A50" s="38" t="s">
        <v>741</v>
      </c>
    </row>
    <row r="51" spans="1:1" ht="14.65" customHeight="1" x14ac:dyDescent="0.55000000000000004">
      <c r="A51" s="38" t="s">
        <v>742</v>
      </c>
    </row>
    <row r="52" spans="1:1" ht="14.65" customHeight="1" x14ac:dyDescent="0.55000000000000004">
      <c r="A52" s="38" t="s">
        <v>743</v>
      </c>
    </row>
    <row r="53" spans="1:1" ht="14.65" customHeight="1" x14ac:dyDescent="0.55000000000000004">
      <c r="A53" s="38"/>
    </row>
    <row r="54" spans="1:1" ht="18.649999999999999" customHeight="1" x14ac:dyDescent="0.55000000000000004">
      <c r="A54" s="43" t="s">
        <v>744</v>
      </c>
    </row>
    <row r="55" spans="1:1" ht="14.65" customHeight="1" x14ac:dyDescent="0.55000000000000004">
      <c r="A55" s="38" t="s">
        <v>745</v>
      </c>
    </row>
    <row r="56" spans="1:1" ht="14.65" customHeight="1" x14ac:dyDescent="0.55000000000000004">
      <c r="A56" s="38" t="s">
        <v>746</v>
      </c>
    </row>
    <row r="57" spans="1:1" ht="14.65" customHeight="1" x14ac:dyDescent="0.55000000000000004">
      <c r="A57" s="38"/>
    </row>
    <row r="58" spans="1:1" ht="18.649999999999999" customHeight="1" x14ac:dyDescent="0.55000000000000004">
      <c r="A58" s="43" t="s">
        <v>747</v>
      </c>
    </row>
    <row r="59" spans="1:1" ht="14.65" customHeight="1" x14ac:dyDescent="0.55000000000000004">
      <c r="A59" s="38" t="s">
        <v>748</v>
      </c>
    </row>
    <row r="60" spans="1:1" ht="14.65" customHeight="1" x14ac:dyDescent="0.55000000000000004">
      <c r="A60" s="38" t="s">
        <v>749</v>
      </c>
    </row>
    <row r="61" spans="1:1" ht="14.65" customHeight="1" x14ac:dyDescent="0.55000000000000004">
      <c r="A61" s="38" t="s">
        <v>750</v>
      </c>
    </row>
    <row r="62" spans="1:1" ht="14.65" customHeight="1" x14ac:dyDescent="0.55000000000000004">
      <c r="A62" s="38" t="s">
        <v>751</v>
      </c>
    </row>
    <row r="63" spans="1:1" ht="14.65" customHeight="1" x14ac:dyDescent="0.55000000000000004">
      <c r="A63" s="38"/>
    </row>
    <row r="64" spans="1:1" ht="18.649999999999999" customHeight="1" x14ac:dyDescent="0.55000000000000004">
      <c r="A64" s="43" t="s">
        <v>752</v>
      </c>
    </row>
    <row r="65" spans="1:1" ht="14.65" customHeight="1" x14ac:dyDescent="0.55000000000000004">
      <c r="A65" s="38" t="s">
        <v>753</v>
      </c>
    </row>
    <row r="66" spans="1:1" ht="14.65" customHeight="1" x14ac:dyDescent="0.55000000000000004">
      <c r="A66" s="38" t="s">
        <v>754</v>
      </c>
    </row>
    <row r="67" spans="1:1" ht="14.65" customHeight="1" x14ac:dyDescent="0.55000000000000004">
      <c r="A67" s="38" t="s">
        <v>755</v>
      </c>
    </row>
    <row r="68" spans="1:1" ht="14.65" customHeight="1" x14ac:dyDescent="0.55000000000000004">
      <c r="A68" s="38" t="s">
        <v>756</v>
      </c>
    </row>
    <row r="69" spans="1:1" ht="14.65" customHeight="1" x14ac:dyDescent="0.55000000000000004">
      <c r="A69" s="38"/>
    </row>
    <row r="70" spans="1:1" ht="18.649999999999999" customHeight="1" x14ac:dyDescent="0.55000000000000004">
      <c r="A70" s="43" t="s">
        <v>757</v>
      </c>
    </row>
    <row r="71" spans="1:1" ht="14.65" customHeight="1" x14ac:dyDescent="0.55000000000000004">
      <c r="A71" s="38" t="s">
        <v>758</v>
      </c>
    </row>
    <row r="72" spans="1:1" ht="14.65" customHeight="1" x14ac:dyDescent="0.55000000000000004">
      <c r="A72" s="38" t="s">
        <v>759</v>
      </c>
    </row>
    <row r="73" spans="1:1" ht="14.65" customHeight="1" x14ac:dyDescent="0.55000000000000004">
      <c r="A73" s="38" t="s">
        <v>760</v>
      </c>
    </row>
    <row r="74" spans="1:1" ht="14.65" customHeight="1" x14ac:dyDescent="0.55000000000000004">
      <c r="A74" s="38" t="s">
        <v>761</v>
      </c>
    </row>
    <row r="75" spans="1:1" ht="14.65" customHeight="1" x14ac:dyDescent="0.55000000000000004">
      <c r="A75" s="38" t="s">
        <v>762</v>
      </c>
    </row>
    <row r="76" spans="1:1" ht="14.65" customHeight="1" x14ac:dyDescent="0.55000000000000004">
      <c r="A76" s="38" t="s">
        <v>763</v>
      </c>
    </row>
    <row r="77" spans="1:1" ht="14.65" customHeight="1" x14ac:dyDescent="0.55000000000000004">
      <c r="A77" s="38" t="s">
        <v>764</v>
      </c>
    </row>
    <row r="78" spans="1:1" ht="14.65" customHeight="1" x14ac:dyDescent="0.55000000000000004">
      <c r="A78" s="38" t="s">
        <v>765</v>
      </c>
    </row>
    <row r="79" spans="1:1" ht="14.65" customHeight="1" x14ac:dyDescent="0.55000000000000004">
      <c r="A79" s="38" t="s">
        <v>766</v>
      </c>
    </row>
    <row r="80" spans="1:1" ht="14.65" customHeight="1" x14ac:dyDescent="0.55000000000000004">
      <c r="A80" s="38" t="s">
        <v>767</v>
      </c>
    </row>
    <row r="81" spans="1:1" ht="14.65" customHeight="1" x14ac:dyDescent="0.55000000000000004">
      <c r="A81" s="38" t="s">
        <v>768</v>
      </c>
    </row>
    <row r="82" spans="1:1" ht="14.65" customHeight="1" x14ac:dyDescent="0.55000000000000004">
      <c r="A82" s="38" t="s">
        <v>769</v>
      </c>
    </row>
    <row r="83" spans="1:1" ht="14.65" customHeight="1" x14ac:dyDescent="0.55000000000000004">
      <c r="A83" s="38" t="s">
        <v>770</v>
      </c>
    </row>
    <row r="84" spans="1:1" ht="14.65" customHeight="1" x14ac:dyDescent="0.55000000000000004">
      <c r="A84" s="38" t="s">
        <v>771</v>
      </c>
    </row>
    <row r="85" spans="1:1" ht="14.65" customHeight="1" x14ac:dyDescent="0.55000000000000004">
      <c r="A85" s="38" t="s">
        <v>772</v>
      </c>
    </row>
    <row r="86" spans="1:1" ht="14.65" customHeight="1" x14ac:dyDescent="0.55000000000000004">
      <c r="A86" s="38"/>
    </row>
    <row r="87" spans="1:1" ht="18.649999999999999" customHeight="1" x14ac:dyDescent="0.55000000000000004">
      <c r="A87" s="43" t="s">
        <v>773</v>
      </c>
    </row>
    <row r="88" spans="1:1" ht="14.65" customHeight="1" x14ac:dyDescent="0.55000000000000004">
      <c r="A88" s="38" t="s">
        <v>774</v>
      </c>
    </row>
    <row r="89" spans="1:1" ht="14.65" customHeight="1" x14ac:dyDescent="0.55000000000000004">
      <c r="A89" s="38" t="s">
        <v>775</v>
      </c>
    </row>
    <row r="90" spans="1:1" ht="14.65" customHeight="1" x14ac:dyDescent="0.55000000000000004">
      <c r="A90" s="38"/>
    </row>
    <row r="91" spans="1:1" ht="18.649999999999999" customHeight="1" x14ac:dyDescent="0.55000000000000004">
      <c r="A91" s="43" t="s">
        <v>776</v>
      </c>
    </row>
    <row r="92" spans="1:1" ht="14.65" customHeight="1" x14ac:dyDescent="0.55000000000000004">
      <c r="A92" s="38" t="s">
        <v>777</v>
      </c>
    </row>
    <row r="93" spans="1:1" ht="14.65" customHeight="1" x14ac:dyDescent="0.55000000000000004">
      <c r="A93" s="38"/>
    </row>
    <row r="94" spans="1:1" ht="18.649999999999999" customHeight="1" x14ac:dyDescent="0.55000000000000004">
      <c r="A94" s="43" t="s">
        <v>778</v>
      </c>
    </row>
    <row r="95" spans="1:1" ht="14.65" customHeight="1" x14ac:dyDescent="0.55000000000000004">
      <c r="A95" s="38" t="s">
        <v>779</v>
      </c>
    </row>
    <row r="96" spans="1:1" ht="14.65" customHeight="1" x14ac:dyDescent="0.55000000000000004">
      <c r="A96" s="38" t="s">
        <v>780</v>
      </c>
    </row>
    <row r="97" spans="1:1" ht="14.65" customHeight="1" x14ac:dyDescent="0.55000000000000004">
      <c r="A97" s="38" t="s">
        <v>781</v>
      </c>
    </row>
    <row r="98" spans="1:1" ht="14.65" customHeight="1" x14ac:dyDescent="0.55000000000000004">
      <c r="A98" s="38"/>
    </row>
    <row r="99" spans="1:1" ht="18.649999999999999" customHeight="1" x14ac:dyDescent="0.55000000000000004">
      <c r="A99" s="43" t="s">
        <v>782</v>
      </c>
    </row>
    <row r="100" spans="1:1" ht="14.65" customHeight="1" x14ac:dyDescent="0.55000000000000004">
      <c r="A100" s="38" t="s">
        <v>783</v>
      </c>
    </row>
    <row r="101" spans="1:1" ht="14.65" customHeight="1" x14ac:dyDescent="0.55000000000000004">
      <c r="A101" s="38" t="s">
        <v>784</v>
      </c>
    </row>
    <row r="102" spans="1:1" ht="14.65" customHeight="1" x14ac:dyDescent="0.55000000000000004">
      <c r="A102" s="38" t="s">
        <v>785</v>
      </c>
    </row>
    <row r="103" spans="1:1" ht="14.65" customHeight="1" x14ac:dyDescent="0.55000000000000004">
      <c r="A103" s="38" t="s">
        <v>786</v>
      </c>
    </row>
    <row r="104" spans="1:1" ht="14.65" customHeight="1" x14ac:dyDescent="0.55000000000000004">
      <c r="A104" s="38" t="s">
        <v>787</v>
      </c>
    </row>
    <row r="105" spans="1:1" ht="14.65" customHeight="1" x14ac:dyDescent="0.55000000000000004">
      <c r="A105" s="38" t="s">
        <v>788</v>
      </c>
    </row>
    <row r="106" spans="1:1" ht="14.65" customHeight="1" x14ac:dyDescent="0.55000000000000004">
      <c r="A106" s="38" t="s">
        <v>789</v>
      </c>
    </row>
    <row r="107" spans="1:1" ht="14.65" customHeight="1" x14ac:dyDescent="0.55000000000000004">
      <c r="A107" s="38" t="s">
        <v>790</v>
      </c>
    </row>
    <row r="108" spans="1:1" ht="14.65" customHeight="1" x14ac:dyDescent="0.55000000000000004">
      <c r="A108" s="38"/>
    </row>
    <row r="109" spans="1:1" ht="18.649999999999999" customHeight="1" x14ac:dyDescent="0.55000000000000004">
      <c r="A109" s="43" t="s">
        <v>791</v>
      </c>
    </row>
    <row r="110" spans="1:1" ht="14.65" customHeight="1" x14ac:dyDescent="0.55000000000000004">
      <c r="A110" s="38" t="s">
        <v>792</v>
      </c>
    </row>
    <row r="111" spans="1:1" ht="14.65" customHeight="1" x14ac:dyDescent="0.55000000000000004">
      <c r="A111" s="38" t="s">
        <v>793</v>
      </c>
    </row>
    <row r="112" spans="1:1" ht="14.65" customHeight="1" x14ac:dyDescent="0.55000000000000004">
      <c r="A112" s="38" t="s">
        <v>794</v>
      </c>
    </row>
    <row r="113" spans="1:1" ht="14.65" customHeight="1" x14ac:dyDescent="0.55000000000000004">
      <c r="A113" s="38"/>
    </row>
    <row r="114" spans="1:1" ht="18.649999999999999" customHeight="1" x14ac:dyDescent="0.55000000000000004">
      <c r="A114" s="43" t="s">
        <v>795</v>
      </c>
    </row>
    <row r="115" spans="1:1" ht="14.65" customHeight="1" x14ac:dyDescent="0.55000000000000004">
      <c r="A115" s="38" t="s">
        <v>796</v>
      </c>
    </row>
    <row r="116" spans="1:1" ht="14.65" customHeight="1" x14ac:dyDescent="0.55000000000000004">
      <c r="A116" s="38" t="s">
        <v>797</v>
      </c>
    </row>
    <row r="117" spans="1:1" ht="14.65" customHeight="1" x14ac:dyDescent="0.55000000000000004">
      <c r="A117" s="38" t="s">
        <v>798</v>
      </c>
    </row>
    <row r="118" spans="1:1" ht="14.65" customHeight="1" x14ac:dyDescent="0.55000000000000004">
      <c r="A118" s="38" t="s">
        <v>799</v>
      </c>
    </row>
    <row r="119" spans="1:1" ht="14.65" customHeight="1" x14ac:dyDescent="0.55000000000000004">
      <c r="A119" s="38" t="s">
        <v>800</v>
      </c>
    </row>
    <row r="120" spans="1:1" ht="14.65" customHeight="1" x14ac:dyDescent="0.55000000000000004">
      <c r="A120" s="38" t="s">
        <v>801</v>
      </c>
    </row>
    <row r="121" spans="1:1" ht="14.65" customHeight="1" x14ac:dyDescent="0.55000000000000004">
      <c r="A121" s="38" t="s">
        <v>802</v>
      </c>
    </row>
    <row r="122" spans="1:1" ht="14.65" customHeight="1" x14ac:dyDescent="0.55000000000000004">
      <c r="A122" s="38" t="s">
        <v>803</v>
      </c>
    </row>
    <row r="123" spans="1:1" ht="14.65" customHeight="1" x14ac:dyDescent="0.55000000000000004">
      <c r="A123" s="38" t="s">
        <v>804</v>
      </c>
    </row>
    <row r="124" spans="1:1" ht="14.65" customHeight="1" x14ac:dyDescent="0.55000000000000004">
      <c r="A124" s="38" t="s">
        <v>805</v>
      </c>
    </row>
    <row r="125" spans="1:1" ht="14.65" customHeight="1" x14ac:dyDescent="0.55000000000000004">
      <c r="A125" s="38" t="s">
        <v>806</v>
      </c>
    </row>
    <row r="126" spans="1:1" ht="14.65" customHeight="1" x14ac:dyDescent="0.55000000000000004">
      <c r="A126" s="38" t="s">
        <v>807</v>
      </c>
    </row>
    <row r="127" spans="1:1" ht="14.65" customHeight="1" x14ac:dyDescent="0.55000000000000004">
      <c r="A127" s="38" t="s">
        <v>808</v>
      </c>
    </row>
    <row r="128" spans="1:1" ht="14.65" customHeight="1" x14ac:dyDescent="0.55000000000000004">
      <c r="A128" s="38" t="s">
        <v>809</v>
      </c>
    </row>
    <row r="129" spans="1:1" ht="14.65" customHeight="1" x14ac:dyDescent="0.55000000000000004">
      <c r="A129" s="38" t="s">
        <v>810</v>
      </c>
    </row>
    <row r="130" spans="1:1" ht="14.65" customHeight="1" x14ac:dyDescent="0.55000000000000004">
      <c r="A130" s="38" t="s">
        <v>811</v>
      </c>
    </row>
    <row r="131" spans="1:1" ht="14.65" customHeight="1" x14ac:dyDescent="0.55000000000000004">
      <c r="A131" s="38" t="s">
        <v>812</v>
      </c>
    </row>
    <row r="132" spans="1:1" ht="14.65" customHeight="1" x14ac:dyDescent="0.55000000000000004">
      <c r="A132" s="38" t="s">
        <v>813</v>
      </c>
    </row>
    <row r="133" spans="1:1" ht="14.65" customHeight="1" x14ac:dyDescent="0.55000000000000004">
      <c r="A133" s="38" t="s">
        <v>814</v>
      </c>
    </row>
    <row r="134" spans="1:1" ht="14.65" customHeight="1" x14ac:dyDescent="0.55000000000000004">
      <c r="A134" s="38" t="s">
        <v>815</v>
      </c>
    </row>
    <row r="135" spans="1:1" ht="14.65" customHeight="1" x14ac:dyDescent="0.55000000000000004">
      <c r="A135" s="38" t="s">
        <v>816</v>
      </c>
    </row>
    <row r="136" spans="1:1" ht="14.65" customHeight="1" x14ac:dyDescent="0.55000000000000004">
      <c r="A136" s="38" t="s">
        <v>817</v>
      </c>
    </row>
    <row r="137" spans="1:1" ht="14.65" customHeight="1" x14ac:dyDescent="0.55000000000000004">
      <c r="A137" s="38" t="s">
        <v>818</v>
      </c>
    </row>
    <row r="138" spans="1:1" ht="14.65" customHeight="1" x14ac:dyDescent="0.55000000000000004">
      <c r="A138" s="38"/>
    </row>
    <row r="139" spans="1:1" ht="18.649999999999999" customHeight="1" x14ac:dyDescent="0.55000000000000004">
      <c r="A139" s="43" t="s">
        <v>819</v>
      </c>
    </row>
    <row r="140" spans="1:1" ht="14.65" customHeight="1" x14ac:dyDescent="0.55000000000000004">
      <c r="A140" s="38" t="s">
        <v>820</v>
      </c>
    </row>
    <row r="141" spans="1:1" ht="14.65" customHeight="1" x14ac:dyDescent="0.55000000000000004">
      <c r="A141" s="38" t="s">
        <v>821</v>
      </c>
    </row>
    <row r="142" spans="1:1" ht="14.65" customHeight="1" x14ac:dyDescent="0.55000000000000004">
      <c r="A142" s="38" t="s">
        <v>822</v>
      </c>
    </row>
    <row r="143" spans="1:1" ht="14.65" customHeight="1" x14ac:dyDescent="0.55000000000000004">
      <c r="A143" s="38"/>
    </row>
    <row r="144" spans="1:1" ht="18.649999999999999" customHeight="1" x14ac:dyDescent="0.55000000000000004">
      <c r="A144" s="43" t="s">
        <v>823</v>
      </c>
    </row>
    <row r="145" spans="1:1" ht="14.65" customHeight="1" x14ac:dyDescent="0.55000000000000004">
      <c r="A145" s="38" t="s">
        <v>824</v>
      </c>
    </row>
    <row r="146" spans="1:1" ht="14.65" customHeight="1" x14ac:dyDescent="0.55000000000000004">
      <c r="A146" s="38"/>
    </row>
    <row r="147" spans="1:1" ht="18.649999999999999" customHeight="1" x14ac:dyDescent="0.55000000000000004">
      <c r="A147" s="43" t="s">
        <v>825</v>
      </c>
    </row>
    <row r="148" spans="1:1" ht="14.65" customHeight="1" x14ac:dyDescent="0.55000000000000004">
      <c r="A148" s="38" t="s">
        <v>826</v>
      </c>
    </row>
    <row r="149" spans="1:1" ht="14.65" customHeight="1" x14ac:dyDescent="0.55000000000000004">
      <c r="A149" s="38" t="s">
        <v>827</v>
      </c>
    </row>
    <row r="150" spans="1:1" ht="14.65" customHeight="1" x14ac:dyDescent="0.55000000000000004">
      <c r="A150" s="38" t="s">
        <v>828</v>
      </c>
    </row>
    <row r="151" spans="1:1" ht="14.65" customHeight="1" x14ac:dyDescent="0.55000000000000004">
      <c r="A151" s="38" t="s">
        <v>829</v>
      </c>
    </row>
    <row r="152" spans="1:1" ht="14.65" customHeight="1" x14ac:dyDescent="0.55000000000000004">
      <c r="A152" s="38" t="s">
        <v>830</v>
      </c>
    </row>
    <row r="153" spans="1:1" ht="14.65" customHeight="1" x14ac:dyDescent="0.55000000000000004">
      <c r="A153" s="38" t="s">
        <v>831</v>
      </c>
    </row>
    <row r="154" spans="1:1" ht="14.65" customHeight="1" x14ac:dyDescent="0.55000000000000004">
      <c r="A154" s="38" t="s">
        <v>832</v>
      </c>
    </row>
    <row r="155" spans="1:1" ht="14.65" customHeight="1" x14ac:dyDescent="0.55000000000000004">
      <c r="A155" s="38" t="s">
        <v>833</v>
      </c>
    </row>
    <row r="156" spans="1:1" ht="14.65" customHeight="1" x14ac:dyDescent="0.55000000000000004">
      <c r="A156" s="38"/>
    </row>
    <row r="157" spans="1:1" ht="18.649999999999999" customHeight="1" x14ac:dyDescent="0.55000000000000004">
      <c r="A157" s="43" t="s">
        <v>834</v>
      </c>
    </row>
    <row r="158" spans="1:1" ht="14.65" customHeight="1" x14ac:dyDescent="0.55000000000000004">
      <c r="A158" s="38" t="s">
        <v>835</v>
      </c>
    </row>
    <row r="159" spans="1:1" ht="14.65" customHeight="1" x14ac:dyDescent="0.55000000000000004">
      <c r="A159" s="38" t="s">
        <v>836</v>
      </c>
    </row>
    <row r="160" spans="1:1" ht="14.65" customHeight="1" x14ac:dyDescent="0.55000000000000004">
      <c r="A160" s="38" t="s">
        <v>837</v>
      </c>
    </row>
    <row r="161" spans="1:1" ht="14.65" customHeight="1" x14ac:dyDescent="0.55000000000000004">
      <c r="A161" s="38" t="s">
        <v>838</v>
      </c>
    </row>
    <row r="162" spans="1:1" ht="14.65" customHeight="1" x14ac:dyDescent="0.55000000000000004">
      <c r="A162" s="38" t="s">
        <v>839</v>
      </c>
    </row>
    <row r="163" spans="1:1" ht="14.65" customHeight="1" x14ac:dyDescent="0.55000000000000004">
      <c r="A163" s="38" t="s">
        <v>840</v>
      </c>
    </row>
    <row r="164" spans="1:1" ht="14.65" customHeight="1" x14ac:dyDescent="0.55000000000000004">
      <c r="A164" s="38" t="s">
        <v>841</v>
      </c>
    </row>
  </sheetData>
  <phoneticPr fontId="2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1"/>
  <sheetViews>
    <sheetView workbookViewId="0"/>
  </sheetViews>
  <sheetFormatPr defaultRowHeight="18" x14ac:dyDescent="0.55000000000000004"/>
  <cols>
    <col min="1" max="1" width="6" customWidth="1"/>
    <col min="2" max="2" width="10" customWidth="1"/>
    <col min="3" max="3" width="15" customWidth="1"/>
    <col min="4" max="4" width="10" customWidth="1"/>
    <col min="5" max="5" width="28" customWidth="1"/>
    <col min="6" max="6" width="10" customWidth="1"/>
    <col min="7" max="7" width="26" customWidth="1"/>
    <col min="8" max="8" width="34" customWidth="1"/>
    <col min="9" max="9" width="58" customWidth="1"/>
    <col min="10" max="10" width="38" customWidth="1"/>
    <col min="11" max="11" width="58" customWidth="1"/>
    <col min="12" max="12" width="10" customWidth="1"/>
  </cols>
  <sheetData>
    <row r="1" spans="1:12" ht="10" customHeight="1" x14ac:dyDescent="0.55000000000000004">
      <c r="A1" s="44" t="s">
        <v>67</v>
      </c>
      <c r="B1" s="44" t="s">
        <v>69</v>
      </c>
      <c r="C1" s="44" t="s">
        <v>114</v>
      </c>
      <c r="D1" s="44" t="s">
        <v>842</v>
      </c>
      <c r="E1" s="44" t="s">
        <v>843</v>
      </c>
      <c r="F1" s="44" t="s">
        <v>844</v>
      </c>
      <c r="G1" s="44" t="s">
        <v>845</v>
      </c>
      <c r="H1" s="44" t="s">
        <v>846</v>
      </c>
      <c r="I1" s="44" t="s">
        <v>847</v>
      </c>
      <c r="J1" s="44" t="s">
        <v>848</v>
      </c>
      <c r="K1" s="44" t="s">
        <v>849</v>
      </c>
      <c r="L1" s="44" t="s">
        <v>850</v>
      </c>
    </row>
    <row r="2" spans="1:12" ht="17.649999999999999" customHeight="1" x14ac:dyDescent="0.55000000000000004">
      <c r="A2" s="38">
        <v>1</v>
      </c>
      <c r="B2" s="38" t="s">
        <v>115</v>
      </c>
      <c r="C2" s="38" t="s">
        <v>126</v>
      </c>
      <c r="D2" s="38" t="s">
        <v>116</v>
      </c>
      <c r="E2" s="38" t="s">
        <v>851</v>
      </c>
      <c r="F2" s="38" t="s">
        <v>116</v>
      </c>
      <c r="G2" s="38" t="s">
        <v>118</v>
      </c>
      <c r="H2" s="38" t="s">
        <v>117</v>
      </c>
      <c r="I2" s="38" t="s">
        <v>852</v>
      </c>
      <c r="J2" s="38" t="s">
        <v>120</v>
      </c>
      <c r="K2" s="38" t="s">
        <v>121</v>
      </c>
      <c r="L2" s="38" t="str">
        <f t="shared" ref="L2:L33" si="0">IF(AND(D2=F2,E2=H2),"維持","変更")</f>
        <v>変更</v>
      </c>
    </row>
    <row r="3" spans="1:12" ht="17.649999999999999" customHeight="1" x14ac:dyDescent="0.55000000000000004">
      <c r="A3" s="38">
        <v>2</v>
      </c>
      <c r="B3" s="38" t="s">
        <v>127</v>
      </c>
      <c r="C3" s="38" t="s">
        <v>137</v>
      </c>
      <c r="D3" s="38" t="s">
        <v>128</v>
      </c>
      <c r="E3" s="38" t="s">
        <v>129</v>
      </c>
      <c r="F3" s="38" t="s">
        <v>128</v>
      </c>
      <c r="G3" s="38" t="s">
        <v>130</v>
      </c>
      <c r="H3" s="38" t="s">
        <v>129</v>
      </c>
      <c r="I3" s="38" t="s">
        <v>853</v>
      </c>
      <c r="J3" s="38" t="s">
        <v>132</v>
      </c>
      <c r="K3" s="38" t="s">
        <v>133</v>
      </c>
      <c r="L3" s="38" t="str">
        <f t="shared" si="0"/>
        <v>維持</v>
      </c>
    </row>
    <row r="4" spans="1:12" ht="17.649999999999999" customHeight="1" x14ac:dyDescent="0.55000000000000004">
      <c r="A4" s="38">
        <v>3</v>
      </c>
      <c r="B4" s="38" t="s">
        <v>138</v>
      </c>
      <c r="C4" s="38" t="s">
        <v>148</v>
      </c>
      <c r="D4" s="38" t="s">
        <v>139</v>
      </c>
      <c r="E4" s="38" t="s">
        <v>854</v>
      </c>
      <c r="F4" s="38" t="s">
        <v>139</v>
      </c>
      <c r="G4" s="38" t="s">
        <v>141</v>
      </c>
      <c r="H4" s="38" t="s">
        <v>140</v>
      </c>
      <c r="I4" s="38" t="s">
        <v>855</v>
      </c>
      <c r="J4" s="38" t="s">
        <v>143</v>
      </c>
      <c r="K4" s="38" t="s">
        <v>144</v>
      </c>
      <c r="L4" s="38" t="str">
        <f t="shared" si="0"/>
        <v>変更</v>
      </c>
    </row>
    <row r="5" spans="1:12" ht="17.649999999999999" customHeight="1" x14ac:dyDescent="0.55000000000000004">
      <c r="A5" s="38">
        <v>4</v>
      </c>
      <c r="B5" s="38" t="s">
        <v>149</v>
      </c>
      <c r="C5" s="38" t="s">
        <v>159</v>
      </c>
      <c r="D5" s="38" t="s">
        <v>220</v>
      </c>
      <c r="E5" s="38" t="s">
        <v>856</v>
      </c>
      <c r="F5" s="38" t="s">
        <v>150</v>
      </c>
      <c r="G5" s="38" t="s">
        <v>152</v>
      </c>
      <c r="H5" s="38" t="s">
        <v>151</v>
      </c>
      <c r="I5" s="38" t="s">
        <v>857</v>
      </c>
      <c r="J5" s="38" t="s">
        <v>154</v>
      </c>
      <c r="K5" s="38" t="s">
        <v>155</v>
      </c>
      <c r="L5" s="38" t="str">
        <f t="shared" si="0"/>
        <v>変更</v>
      </c>
    </row>
    <row r="6" spans="1:12" ht="17.649999999999999" customHeight="1" x14ac:dyDescent="0.55000000000000004">
      <c r="A6" s="38">
        <v>5</v>
      </c>
      <c r="B6" s="38" t="s">
        <v>160</v>
      </c>
      <c r="C6" s="38" t="s">
        <v>164</v>
      </c>
      <c r="D6" s="38" t="s">
        <v>171</v>
      </c>
      <c r="E6" s="38" t="s">
        <v>858</v>
      </c>
      <c r="F6" s="38" t="s">
        <v>150</v>
      </c>
      <c r="G6" s="38" t="s">
        <v>152</v>
      </c>
      <c r="H6" s="38" t="s">
        <v>161</v>
      </c>
      <c r="I6" s="38" t="s">
        <v>859</v>
      </c>
      <c r="J6" s="38" t="s">
        <v>154</v>
      </c>
      <c r="K6" s="38" t="s">
        <v>155</v>
      </c>
      <c r="L6" s="38" t="str">
        <f t="shared" si="0"/>
        <v>変更</v>
      </c>
    </row>
    <row r="7" spans="1:12" ht="17.649999999999999" customHeight="1" x14ac:dyDescent="0.55000000000000004">
      <c r="A7" s="38">
        <v>6</v>
      </c>
      <c r="B7" s="38" t="s">
        <v>165</v>
      </c>
      <c r="C7" s="38" t="s">
        <v>169</v>
      </c>
      <c r="D7" s="38" t="s">
        <v>183</v>
      </c>
      <c r="E7" s="38" t="s">
        <v>860</v>
      </c>
      <c r="F7" s="38" t="s">
        <v>128</v>
      </c>
      <c r="G7" s="38" t="s">
        <v>130</v>
      </c>
      <c r="H7" s="38" t="s">
        <v>166</v>
      </c>
      <c r="I7" s="38" t="s">
        <v>861</v>
      </c>
      <c r="J7" s="38" t="s">
        <v>132</v>
      </c>
      <c r="K7" s="38" t="s">
        <v>133</v>
      </c>
      <c r="L7" s="38" t="str">
        <f t="shared" si="0"/>
        <v>変更</v>
      </c>
    </row>
    <row r="8" spans="1:12" ht="17.649999999999999" customHeight="1" x14ac:dyDescent="0.55000000000000004">
      <c r="A8" s="38">
        <v>7</v>
      </c>
      <c r="B8" s="38" t="s">
        <v>170</v>
      </c>
      <c r="C8" s="38" t="s">
        <v>181</v>
      </c>
      <c r="D8" s="38" t="s">
        <v>150</v>
      </c>
      <c r="E8" s="38" t="s">
        <v>862</v>
      </c>
      <c r="F8" s="38" t="s">
        <v>171</v>
      </c>
      <c r="G8" s="38" t="s">
        <v>173</v>
      </c>
      <c r="H8" s="38" t="s">
        <v>172</v>
      </c>
      <c r="I8" s="38" t="s">
        <v>863</v>
      </c>
      <c r="J8" s="38" t="s">
        <v>175</v>
      </c>
      <c r="K8" s="38" t="s">
        <v>176</v>
      </c>
      <c r="L8" s="38" t="str">
        <f t="shared" si="0"/>
        <v>変更</v>
      </c>
    </row>
    <row r="9" spans="1:12" ht="17.649999999999999" customHeight="1" x14ac:dyDescent="0.55000000000000004">
      <c r="A9" s="38">
        <v>8</v>
      </c>
      <c r="B9" s="38" t="s">
        <v>182</v>
      </c>
      <c r="C9" s="38" t="s">
        <v>192</v>
      </c>
      <c r="D9" s="38" t="s">
        <v>292</v>
      </c>
      <c r="E9" s="38" t="s">
        <v>864</v>
      </c>
      <c r="F9" s="38" t="s">
        <v>183</v>
      </c>
      <c r="G9" s="38" t="s">
        <v>185</v>
      </c>
      <c r="H9" s="38" t="s">
        <v>184</v>
      </c>
      <c r="I9" s="38" t="s">
        <v>865</v>
      </c>
      <c r="J9" s="38" t="s">
        <v>187</v>
      </c>
      <c r="K9" s="38" t="s">
        <v>188</v>
      </c>
      <c r="L9" s="38" t="str">
        <f t="shared" si="0"/>
        <v>変更</v>
      </c>
    </row>
    <row r="10" spans="1:12" ht="17.649999999999999" customHeight="1" x14ac:dyDescent="0.55000000000000004">
      <c r="A10" s="38">
        <v>9</v>
      </c>
      <c r="B10" s="38" t="s">
        <v>193</v>
      </c>
      <c r="C10" s="38" t="s">
        <v>197</v>
      </c>
      <c r="D10" s="38" t="s">
        <v>209</v>
      </c>
      <c r="E10" s="38" t="s">
        <v>866</v>
      </c>
      <c r="F10" s="38" t="s">
        <v>150</v>
      </c>
      <c r="G10" s="38" t="s">
        <v>152</v>
      </c>
      <c r="H10" s="38" t="s">
        <v>194</v>
      </c>
      <c r="I10" s="38" t="s">
        <v>867</v>
      </c>
      <c r="J10" s="38" t="s">
        <v>154</v>
      </c>
      <c r="K10" s="38" t="s">
        <v>155</v>
      </c>
      <c r="L10" s="38" t="str">
        <f t="shared" si="0"/>
        <v>変更</v>
      </c>
    </row>
    <row r="11" spans="1:12" ht="17.649999999999999" customHeight="1" x14ac:dyDescent="0.55000000000000004">
      <c r="A11" s="38">
        <v>10</v>
      </c>
      <c r="B11" s="38" t="s">
        <v>198</v>
      </c>
      <c r="C11" s="38" t="s">
        <v>201</v>
      </c>
      <c r="D11" s="38" t="s">
        <v>307</v>
      </c>
      <c r="E11" s="38" t="s">
        <v>868</v>
      </c>
      <c r="F11" s="38" t="s">
        <v>116</v>
      </c>
      <c r="G11" s="38" t="s">
        <v>118</v>
      </c>
      <c r="H11" s="38" t="s">
        <v>117</v>
      </c>
      <c r="I11" s="38" t="s">
        <v>869</v>
      </c>
      <c r="J11" s="38" t="s">
        <v>120</v>
      </c>
      <c r="K11" s="38" t="s">
        <v>121</v>
      </c>
      <c r="L11" s="38" t="str">
        <f t="shared" si="0"/>
        <v>変更</v>
      </c>
    </row>
    <row r="12" spans="1:12" ht="17.649999999999999" customHeight="1" x14ac:dyDescent="0.55000000000000004">
      <c r="A12" s="38">
        <v>11</v>
      </c>
      <c r="B12" s="38" t="s">
        <v>202</v>
      </c>
      <c r="C12" s="38" t="s">
        <v>204</v>
      </c>
      <c r="D12" s="38" t="s">
        <v>116</v>
      </c>
      <c r="E12" s="38" t="s">
        <v>851</v>
      </c>
      <c r="F12" s="38" t="s">
        <v>116</v>
      </c>
      <c r="G12" s="38" t="s">
        <v>118</v>
      </c>
      <c r="H12" s="38" t="s">
        <v>117</v>
      </c>
      <c r="I12" s="38" t="s">
        <v>870</v>
      </c>
      <c r="J12" s="38" t="s">
        <v>120</v>
      </c>
      <c r="K12" s="38" t="s">
        <v>121</v>
      </c>
      <c r="L12" s="38" t="str">
        <f t="shared" si="0"/>
        <v>変更</v>
      </c>
    </row>
    <row r="13" spans="1:12" ht="17.649999999999999" customHeight="1" x14ac:dyDescent="0.55000000000000004">
      <c r="A13" s="38">
        <v>12</v>
      </c>
      <c r="B13" s="38" t="s">
        <v>205</v>
      </c>
      <c r="C13" s="38" t="s">
        <v>207</v>
      </c>
      <c r="D13" s="38" t="s">
        <v>128</v>
      </c>
      <c r="E13" s="38" t="s">
        <v>10</v>
      </c>
      <c r="F13" s="38" t="s">
        <v>128</v>
      </c>
      <c r="G13" s="38" t="s">
        <v>130</v>
      </c>
      <c r="H13" s="38" t="s">
        <v>129</v>
      </c>
      <c r="I13" s="38" t="s">
        <v>871</v>
      </c>
      <c r="J13" s="38" t="s">
        <v>132</v>
      </c>
      <c r="K13" s="38" t="s">
        <v>133</v>
      </c>
      <c r="L13" s="38" t="str">
        <f t="shared" si="0"/>
        <v>変更</v>
      </c>
    </row>
    <row r="14" spans="1:12" ht="17.649999999999999" customHeight="1" x14ac:dyDescent="0.55000000000000004">
      <c r="A14" s="38">
        <v>13</v>
      </c>
      <c r="B14" s="38" t="s">
        <v>208</v>
      </c>
      <c r="C14" s="38" t="s">
        <v>218</v>
      </c>
      <c r="D14" s="38" t="s">
        <v>139</v>
      </c>
      <c r="E14" s="38" t="s">
        <v>854</v>
      </c>
      <c r="F14" s="38" t="s">
        <v>209</v>
      </c>
      <c r="G14" s="38" t="s">
        <v>211</v>
      </c>
      <c r="H14" s="38" t="s">
        <v>210</v>
      </c>
      <c r="I14" s="38" t="s">
        <v>872</v>
      </c>
      <c r="J14" s="38" t="s">
        <v>212</v>
      </c>
      <c r="K14" s="38" t="s">
        <v>213</v>
      </c>
      <c r="L14" s="38" t="str">
        <f t="shared" si="0"/>
        <v>変更</v>
      </c>
    </row>
    <row r="15" spans="1:12" ht="17.649999999999999" customHeight="1" x14ac:dyDescent="0.55000000000000004">
      <c r="A15" s="38">
        <v>14</v>
      </c>
      <c r="B15" s="38" t="s">
        <v>219</v>
      </c>
      <c r="C15" s="38" t="s">
        <v>227</v>
      </c>
      <c r="D15" s="38" t="s">
        <v>220</v>
      </c>
      <c r="E15" s="38" t="s">
        <v>856</v>
      </c>
      <c r="F15" s="38" t="s">
        <v>220</v>
      </c>
      <c r="G15" s="38" t="s">
        <v>221</v>
      </c>
      <c r="H15" s="38" t="s">
        <v>151</v>
      </c>
      <c r="I15" s="38" t="s">
        <v>873</v>
      </c>
      <c r="J15" s="38" t="s">
        <v>222</v>
      </c>
      <c r="K15" s="38" t="s">
        <v>223</v>
      </c>
      <c r="L15" s="38" t="str">
        <f t="shared" si="0"/>
        <v>変更</v>
      </c>
    </row>
    <row r="16" spans="1:12" ht="17.649999999999999" customHeight="1" x14ac:dyDescent="0.55000000000000004">
      <c r="A16" s="38">
        <v>15</v>
      </c>
      <c r="B16" s="38" t="s">
        <v>228</v>
      </c>
      <c r="C16" s="38" t="s">
        <v>231</v>
      </c>
      <c r="D16" s="38" t="s">
        <v>171</v>
      </c>
      <c r="E16" s="38" t="s">
        <v>874</v>
      </c>
      <c r="F16" s="38" t="s">
        <v>171</v>
      </c>
      <c r="G16" s="38" t="s">
        <v>173</v>
      </c>
      <c r="H16" s="38" t="s">
        <v>172</v>
      </c>
      <c r="I16" s="38" t="s">
        <v>875</v>
      </c>
      <c r="J16" s="38" t="s">
        <v>175</v>
      </c>
      <c r="K16" s="38" t="s">
        <v>176</v>
      </c>
      <c r="L16" s="38" t="str">
        <f t="shared" si="0"/>
        <v>変更</v>
      </c>
    </row>
    <row r="17" spans="1:12" ht="17.649999999999999" customHeight="1" x14ac:dyDescent="0.55000000000000004">
      <c r="A17" s="38">
        <v>16</v>
      </c>
      <c r="B17" s="38" t="s">
        <v>232</v>
      </c>
      <c r="C17" s="38" t="s">
        <v>236</v>
      </c>
      <c r="D17" s="38" t="s">
        <v>183</v>
      </c>
      <c r="E17" s="38" t="s">
        <v>876</v>
      </c>
      <c r="F17" s="38" t="s">
        <v>220</v>
      </c>
      <c r="G17" s="38" t="s">
        <v>221</v>
      </c>
      <c r="H17" s="38" t="s">
        <v>233</v>
      </c>
      <c r="I17" s="38" t="s">
        <v>877</v>
      </c>
      <c r="J17" s="38" t="s">
        <v>222</v>
      </c>
      <c r="K17" s="38" t="s">
        <v>223</v>
      </c>
      <c r="L17" s="38" t="str">
        <f t="shared" si="0"/>
        <v>変更</v>
      </c>
    </row>
    <row r="18" spans="1:12" ht="17.649999999999999" customHeight="1" x14ac:dyDescent="0.55000000000000004">
      <c r="A18" s="38">
        <v>17</v>
      </c>
      <c r="B18" s="38" t="s">
        <v>237</v>
      </c>
      <c r="C18" s="38" t="s">
        <v>240</v>
      </c>
      <c r="D18" s="38" t="s">
        <v>150</v>
      </c>
      <c r="E18" s="38" t="s">
        <v>878</v>
      </c>
      <c r="F18" s="38" t="s">
        <v>150</v>
      </c>
      <c r="G18" s="38" t="s">
        <v>152</v>
      </c>
      <c r="H18" s="38" t="s">
        <v>238</v>
      </c>
      <c r="I18" s="38" t="s">
        <v>879</v>
      </c>
      <c r="J18" s="38" t="s">
        <v>154</v>
      </c>
      <c r="K18" s="38" t="s">
        <v>155</v>
      </c>
      <c r="L18" s="38" t="str">
        <f t="shared" si="0"/>
        <v>変更</v>
      </c>
    </row>
    <row r="19" spans="1:12" ht="17.649999999999999" customHeight="1" x14ac:dyDescent="0.55000000000000004">
      <c r="A19" s="38">
        <v>18</v>
      </c>
      <c r="B19" s="38" t="s">
        <v>241</v>
      </c>
      <c r="C19" s="38" t="s">
        <v>245</v>
      </c>
      <c r="D19" s="38" t="s">
        <v>292</v>
      </c>
      <c r="E19" s="38" t="s">
        <v>21</v>
      </c>
      <c r="F19" s="38" t="s">
        <v>150</v>
      </c>
      <c r="G19" s="38" t="s">
        <v>152</v>
      </c>
      <c r="H19" s="38" t="s">
        <v>242</v>
      </c>
      <c r="I19" s="38" t="s">
        <v>880</v>
      </c>
      <c r="J19" s="38" t="s">
        <v>154</v>
      </c>
      <c r="K19" s="38" t="s">
        <v>155</v>
      </c>
      <c r="L19" s="38" t="str">
        <f t="shared" si="0"/>
        <v>変更</v>
      </c>
    </row>
    <row r="20" spans="1:12" ht="17.649999999999999" customHeight="1" x14ac:dyDescent="0.55000000000000004">
      <c r="A20" s="38">
        <v>19</v>
      </c>
      <c r="B20" s="38" t="s">
        <v>246</v>
      </c>
      <c r="C20" s="38" t="s">
        <v>249</v>
      </c>
      <c r="D20" s="38" t="s">
        <v>209</v>
      </c>
      <c r="E20" s="38" t="s">
        <v>881</v>
      </c>
      <c r="F20" s="38" t="s">
        <v>183</v>
      </c>
      <c r="G20" s="38" t="s">
        <v>185</v>
      </c>
      <c r="H20" s="38" t="s">
        <v>247</v>
      </c>
      <c r="I20" s="38" t="s">
        <v>882</v>
      </c>
      <c r="J20" s="38" t="s">
        <v>187</v>
      </c>
      <c r="K20" s="38" t="s">
        <v>188</v>
      </c>
      <c r="L20" s="38" t="str">
        <f t="shared" si="0"/>
        <v>変更</v>
      </c>
    </row>
    <row r="21" spans="1:12" ht="17.649999999999999" customHeight="1" x14ac:dyDescent="0.55000000000000004">
      <c r="A21" s="38">
        <v>20</v>
      </c>
      <c r="B21" s="38" t="s">
        <v>250</v>
      </c>
      <c r="C21" s="38" t="s">
        <v>260</v>
      </c>
      <c r="D21" s="38" t="s">
        <v>307</v>
      </c>
      <c r="E21" s="38" t="s">
        <v>883</v>
      </c>
      <c r="F21" s="38" t="s">
        <v>251</v>
      </c>
      <c r="G21" s="38" t="s">
        <v>253</v>
      </c>
      <c r="H21" s="38" t="s">
        <v>252</v>
      </c>
      <c r="I21" s="38" t="s">
        <v>884</v>
      </c>
      <c r="J21" s="38" t="s">
        <v>255</v>
      </c>
      <c r="K21" s="38" t="s">
        <v>256</v>
      </c>
      <c r="L21" s="38" t="str">
        <f t="shared" si="0"/>
        <v>変更</v>
      </c>
    </row>
    <row r="22" spans="1:12" ht="17.649999999999999" customHeight="1" x14ac:dyDescent="0.55000000000000004">
      <c r="A22" s="38">
        <v>21</v>
      </c>
      <c r="B22" s="38" t="s">
        <v>261</v>
      </c>
      <c r="C22" s="38" t="s">
        <v>264</v>
      </c>
      <c r="D22" s="38" t="s">
        <v>116</v>
      </c>
      <c r="E22" s="38" t="s">
        <v>851</v>
      </c>
      <c r="F22" s="38" t="s">
        <v>116</v>
      </c>
      <c r="G22" s="38" t="s">
        <v>118</v>
      </c>
      <c r="H22" s="38" t="s">
        <v>117</v>
      </c>
      <c r="I22" s="38" t="s">
        <v>885</v>
      </c>
      <c r="J22" s="38" t="s">
        <v>120</v>
      </c>
      <c r="K22" s="38" t="s">
        <v>121</v>
      </c>
      <c r="L22" s="38" t="str">
        <f t="shared" si="0"/>
        <v>変更</v>
      </c>
    </row>
    <row r="23" spans="1:12" ht="17.649999999999999" customHeight="1" x14ac:dyDescent="0.55000000000000004">
      <c r="A23" s="38">
        <v>22</v>
      </c>
      <c r="B23" s="38" t="s">
        <v>265</v>
      </c>
      <c r="C23" s="38" t="s">
        <v>268</v>
      </c>
      <c r="D23" s="38" t="s">
        <v>128</v>
      </c>
      <c r="E23" s="38" t="s">
        <v>10</v>
      </c>
      <c r="F23" s="38" t="s">
        <v>209</v>
      </c>
      <c r="G23" s="38" t="s">
        <v>211</v>
      </c>
      <c r="H23" s="38" t="s">
        <v>266</v>
      </c>
      <c r="I23" s="38" t="s">
        <v>886</v>
      </c>
      <c r="J23" s="38" t="s">
        <v>212</v>
      </c>
      <c r="K23" s="38" t="s">
        <v>213</v>
      </c>
      <c r="L23" s="38" t="str">
        <f t="shared" si="0"/>
        <v>変更</v>
      </c>
    </row>
    <row r="24" spans="1:12" ht="17.649999999999999" customHeight="1" x14ac:dyDescent="0.55000000000000004">
      <c r="A24" s="38">
        <v>23</v>
      </c>
      <c r="B24" s="38" t="s">
        <v>269</v>
      </c>
      <c r="C24" s="38" t="s">
        <v>273</v>
      </c>
      <c r="D24" s="38" t="s">
        <v>139</v>
      </c>
      <c r="E24" s="38" t="s">
        <v>854</v>
      </c>
      <c r="F24" s="38" t="s">
        <v>150</v>
      </c>
      <c r="G24" s="38" t="s">
        <v>152</v>
      </c>
      <c r="H24" s="38" t="s">
        <v>270</v>
      </c>
      <c r="I24" s="38" t="s">
        <v>887</v>
      </c>
      <c r="J24" s="38" t="s">
        <v>154</v>
      </c>
      <c r="K24" s="38" t="s">
        <v>155</v>
      </c>
      <c r="L24" s="38" t="str">
        <f t="shared" si="0"/>
        <v>変更</v>
      </c>
    </row>
    <row r="25" spans="1:12" ht="17.649999999999999" customHeight="1" x14ac:dyDescent="0.55000000000000004">
      <c r="A25" s="38">
        <v>24</v>
      </c>
      <c r="B25" s="38" t="s">
        <v>274</v>
      </c>
      <c r="C25" s="38" t="s">
        <v>277</v>
      </c>
      <c r="D25" s="38" t="s">
        <v>220</v>
      </c>
      <c r="E25" s="38" t="s">
        <v>888</v>
      </c>
      <c r="F25" s="38" t="s">
        <v>220</v>
      </c>
      <c r="G25" s="38" t="s">
        <v>221</v>
      </c>
      <c r="H25" s="38" t="s">
        <v>275</v>
      </c>
      <c r="I25" s="38" t="s">
        <v>889</v>
      </c>
      <c r="J25" s="38" t="s">
        <v>222</v>
      </c>
      <c r="K25" s="38" t="s">
        <v>223</v>
      </c>
      <c r="L25" s="38" t="str">
        <f t="shared" si="0"/>
        <v>変更</v>
      </c>
    </row>
    <row r="26" spans="1:12" ht="17.649999999999999" customHeight="1" x14ac:dyDescent="0.55000000000000004">
      <c r="A26" s="38">
        <v>25</v>
      </c>
      <c r="B26" s="38" t="s">
        <v>278</v>
      </c>
      <c r="C26" s="38" t="s">
        <v>281</v>
      </c>
      <c r="D26" s="38" t="s">
        <v>171</v>
      </c>
      <c r="E26" s="38" t="s">
        <v>874</v>
      </c>
      <c r="F26" s="38" t="s">
        <v>171</v>
      </c>
      <c r="G26" s="38" t="s">
        <v>173</v>
      </c>
      <c r="H26" s="38" t="s">
        <v>172</v>
      </c>
      <c r="I26" s="38" t="s">
        <v>890</v>
      </c>
      <c r="J26" s="38" t="s">
        <v>175</v>
      </c>
      <c r="K26" s="38" t="s">
        <v>176</v>
      </c>
      <c r="L26" s="38" t="str">
        <f t="shared" si="0"/>
        <v>変更</v>
      </c>
    </row>
    <row r="27" spans="1:12" ht="17.649999999999999" customHeight="1" x14ac:dyDescent="0.55000000000000004">
      <c r="A27" s="38">
        <v>26</v>
      </c>
      <c r="B27" s="38" t="s">
        <v>282</v>
      </c>
      <c r="C27" s="38" t="s">
        <v>286</v>
      </c>
      <c r="D27" s="38" t="s">
        <v>183</v>
      </c>
      <c r="E27" s="38" t="s">
        <v>891</v>
      </c>
      <c r="F27" s="38" t="s">
        <v>183</v>
      </c>
      <c r="G27" s="38" t="s">
        <v>185</v>
      </c>
      <c r="H27" s="38" t="s">
        <v>283</v>
      </c>
      <c r="I27" s="38" t="s">
        <v>892</v>
      </c>
      <c r="J27" s="38" t="s">
        <v>187</v>
      </c>
      <c r="K27" s="38" t="s">
        <v>188</v>
      </c>
      <c r="L27" s="38" t="str">
        <f t="shared" si="0"/>
        <v>変更</v>
      </c>
    </row>
    <row r="28" spans="1:12" ht="17.649999999999999" customHeight="1" x14ac:dyDescent="0.55000000000000004">
      <c r="A28" s="38">
        <v>27</v>
      </c>
      <c r="B28" s="38" t="s">
        <v>287</v>
      </c>
      <c r="C28" s="38" t="s">
        <v>290</v>
      </c>
      <c r="D28" s="38" t="s">
        <v>150</v>
      </c>
      <c r="E28" s="38" t="s">
        <v>893</v>
      </c>
      <c r="F28" s="38" t="s">
        <v>150</v>
      </c>
      <c r="G28" s="38" t="s">
        <v>152</v>
      </c>
      <c r="H28" s="38" t="s">
        <v>288</v>
      </c>
      <c r="I28" s="38" t="s">
        <v>894</v>
      </c>
      <c r="J28" s="38" t="s">
        <v>154</v>
      </c>
      <c r="K28" s="38" t="s">
        <v>155</v>
      </c>
      <c r="L28" s="38" t="str">
        <f t="shared" si="0"/>
        <v>変更</v>
      </c>
    </row>
    <row r="29" spans="1:12" ht="17.649999999999999" customHeight="1" x14ac:dyDescent="0.55000000000000004">
      <c r="A29" s="38">
        <v>28</v>
      </c>
      <c r="B29" s="38" t="s">
        <v>291</v>
      </c>
      <c r="C29" s="38" t="s">
        <v>300</v>
      </c>
      <c r="D29" s="38" t="s">
        <v>292</v>
      </c>
      <c r="E29" s="38" t="s">
        <v>895</v>
      </c>
      <c r="F29" s="38" t="s">
        <v>292</v>
      </c>
      <c r="G29" s="38" t="s">
        <v>294</v>
      </c>
      <c r="H29" s="38" t="s">
        <v>293</v>
      </c>
      <c r="I29" s="38" t="s">
        <v>896</v>
      </c>
      <c r="J29" s="38" t="s">
        <v>295</v>
      </c>
      <c r="K29" s="38" t="s">
        <v>296</v>
      </c>
      <c r="L29" s="38" t="str">
        <f t="shared" si="0"/>
        <v>変更</v>
      </c>
    </row>
    <row r="30" spans="1:12" ht="17.649999999999999" customHeight="1" x14ac:dyDescent="0.55000000000000004">
      <c r="A30" s="38">
        <v>29</v>
      </c>
      <c r="B30" s="38" t="s">
        <v>301</v>
      </c>
      <c r="C30" s="38" t="s">
        <v>305</v>
      </c>
      <c r="D30" s="38" t="s">
        <v>209</v>
      </c>
      <c r="E30" s="38" t="s">
        <v>897</v>
      </c>
      <c r="F30" s="38" t="s">
        <v>209</v>
      </c>
      <c r="G30" s="38" t="s">
        <v>211</v>
      </c>
      <c r="H30" s="38" t="s">
        <v>302</v>
      </c>
      <c r="I30" s="38" t="s">
        <v>898</v>
      </c>
      <c r="J30" s="38" t="s">
        <v>212</v>
      </c>
      <c r="K30" s="38" t="s">
        <v>213</v>
      </c>
      <c r="L30" s="38" t="str">
        <f t="shared" si="0"/>
        <v>変更</v>
      </c>
    </row>
    <row r="31" spans="1:12" ht="17.649999999999999" customHeight="1" x14ac:dyDescent="0.55000000000000004">
      <c r="A31" s="38">
        <v>30</v>
      </c>
      <c r="B31" s="38" t="s">
        <v>306</v>
      </c>
      <c r="C31" s="38" t="s">
        <v>316</v>
      </c>
      <c r="D31" s="38" t="s">
        <v>307</v>
      </c>
      <c r="E31" s="38" t="s">
        <v>899</v>
      </c>
      <c r="F31" s="38" t="s">
        <v>307</v>
      </c>
      <c r="G31" s="38" t="s">
        <v>309</v>
      </c>
      <c r="H31" s="38" t="s">
        <v>308</v>
      </c>
      <c r="I31" s="38" t="s">
        <v>900</v>
      </c>
      <c r="J31" s="38" t="s">
        <v>311</v>
      </c>
      <c r="K31" s="38" t="s">
        <v>312</v>
      </c>
      <c r="L31" s="38" t="str">
        <f t="shared" si="0"/>
        <v>変更</v>
      </c>
    </row>
    <row r="32" spans="1:12" ht="17.649999999999999" customHeight="1" x14ac:dyDescent="0.55000000000000004">
      <c r="A32" s="38">
        <v>31</v>
      </c>
      <c r="B32" s="38" t="s">
        <v>317</v>
      </c>
      <c r="C32" s="38" t="s">
        <v>320</v>
      </c>
      <c r="D32" s="38" t="s">
        <v>116</v>
      </c>
      <c r="E32" s="38" t="s">
        <v>851</v>
      </c>
      <c r="F32" s="38" t="s">
        <v>183</v>
      </c>
      <c r="G32" s="38" t="s">
        <v>185</v>
      </c>
      <c r="H32" s="38" t="s">
        <v>140</v>
      </c>
      <c r="I32" s="38" t="s">
        <v>901</v>
      </c>
      <c r="J32" s="38" t="s">
        <v>187</v>
      </c>
      <c r="K32" s="38" t="s">
        <v>188</v>
      </c>
      <c r="L32" s="38" t="str">
        <f t="shared" si="0"/>
        <v>変更</v>
      </c>
    </row>
    <row r="33" spans="1:12" ht="17.649999999999999" customHeight="1" x14ac:dyDescent="0.55000000000000004">
      <c r="A33" s="38">
        <v>32</v>
      </c>
      <c r="B33" s="38" t="s">
        <v>321</v>
      </c>
      <c r="C33" s="38" t="s">
        <v>325</v>
      </c>
      <c r="D33" s="38" t="s">
        <v>128</v>
      </c>
      <c r="E33" s="38" t="s">
        <v>10</v>
      </c>
      <c r="F33" s="38" t="s">
        <v>116</v>
      </c>
      <c r="G33" s="38" t="s">
        <v>118</v>
      </c>
      <c r="H33" s="38" t="s">
        <v>322</v>
      </c>
      <c r="I33" s="38" t="s">
        <v>902</v>
      </c>
      <c r="J33" s="38" t="s">
        <v>120</v>
      </c>
      <c r="K33" s="38" t="s">
        <v>121</v>
      </c>
      <c r="L33" s="38" t="str">
        <f t="shared" si="0"/>
        <v>変更</v>
      </c>
    </row>
    <row r="34" spans="1:12" ht="17.649999999999999" customHeight="1" x14ac:dyDescent="0.55000000000000004">
      <c r="A34" s="38">
        <v>33</v>
      </c>
      <c r="B34" s="38" t="s">
        <v>326</v>
      </c>
      <c r="C34" s="38" t="s">
        <v>328</v>
      </c>
      <c r="D34" s="38" t="s">
        <v>139</v>
      </c>
      <c r="E34" s="38" t="s">
        <v>854</v>
      </c>
      <c r="F34" s="38" t="s">
        <v>183</v>
      </c>
      <c r="G34" s="38" t="s">
        <v>185</v>
      </c>
      <c r="H34" s="38" t="s">
        <v>140</v>
      </c>
      <c r="I34" s="38" t="s">
        <v>903</v>
      </c>
      <c r="J34" s="38" t="s">
        <v>187</v>
      </c>
      <c r="K34" s="38" t="s">
        <v>188</v>
      </c>
      <c r="L34" s="38" t="str">
        <f t="shared" ref="L34:L65" si="1">IF(AND(D34=F34,E34=H34),"維持","変更")</f>
        <v>変更</v>
      </c>
    </row>
    <row r="35" spans="1:12" ht="17.649999999999999" customHeight="1" x14ac:dyDescent="0.55000000000000004">
      <c r="A35" s="38">
        <v>34</v>
      </c>
      <c r="B35" s="38" t="s">
        <v>329</v>
      </c>
      <c r="C35" s="38" t="s">
        <v>331</v>
      </c>
      <c r="D35" s="38" t="s">
        <v>220</v>
      </c>
      <c r="E35" s="38" t="s">
        <v>856</v>
      </c>
      <c r="F35" s="38" t="s">
        <v>220</v>
      </c>
      <c r="G35" s="38" t="s">
        <v>221</v>
      </c>
      <c r="H35" s="38" t="s">
        <v>275</v>
      </c>
      <c r="I35" s="38" t="s">
        <v>904</v>
      </c>
      <c r="J35" s="38" t="s">
        <v>222</v>
      </c>
      <c r="K35" s="38" t="s">
        <v>223</v>
      </c>
      <c r="L35" s="38" t="str">
        <f t="shared" si="1"/>
        <v>変更</v>
      </c>
    </row>
    <row r="36" spans="1:12" ht="17.649999999999999" customHeight="1" x14ac:dyDescent="0.55000000000000004">
      <c r="A36" s="38">
        <v>35</v>
      </c>
      <c r="B36" s="38" t="s">
        <v>332</v>
      </c>
      <c r="C36" s="38" t="s">
        <v>335</v>
      </c>
      <c r="D36" s="38" t="s">
        <v>171</v>
      </c>
      <c r="E36" s="38" t="s">
        <v>874</v>
      </c>
      <c r="F36" s="38" t="s">
        <v>139</v>
      </c>
      <c r="G36" s="38" t="s">
        <v>141</v>
      </c>
      <c r="H36" s="38" t="s">
        <v>333</v>
      </c>
      <c r="I36" s="38" t="s">
        <v>905</v>
      </c>
      <c r="J36" s="38" t="s">
        <v>143</v>
      </c>
      <c r="K36" s="38" t="s">
        <v>144</v>
      </c>
      <c r="L36" s="38" t="str">
        <f t="shared" si="1"/>
        <v>変更</v>
      </c>
    </row>
    <row r="37" spans="1:12" ht="17.649999999999999" customHeight="1" x14ac:dyDescent="0.55000000000000004">
      <c r="A37" s="38">
        <v>36</v>
      </c>
      <c r="B37" s="38" t="s">
        <v>336</v>
      </c>
      <c r="C37" s="38" t="s">
        <v>340</v>
      </c>
      <c r="D37" s="38" t="s">
        <v>183</v>
      </c>
      <c r="E37" s="38" t="s">
        <v>891</v>
      </c>
      <c r="F37" s="38" t="s">
        <v>116</v>
      </c>
      <c r="G37" s="38" t="s">
        <v>118</v>
      </c>
      <c r="H37" s="38" t="s">
        <v>337</v>
      </c>
      <c r="I37" s="38" t="s">
        <v>906</v>
      </c>
      <c r="J37" s="38" t="s">
        <v>120</v>
      </c>
      <c r="K37" s="38" t="s">
        <v>121</v>
      </c>
      <c r="L37" s="38" t="str">
        <f t="shared" si="1"/>
        <v>変更</v>
      </c>
    </row>
    <row r="38" spans="1:12" ht="17.649999999999999" customHeight="1" x14ac:dyDescent="0.55000000000000004">
      <c r="A38" s="38">
        <v>37</v>
      </c>
      <c r="B38" s="38" t="s">
        <v>341</v>
      </c>
      <c r="C38" s="38" t="s">
        <v>344</v>
      </c>
      <c r="D38" s="38" t="s">
        <v>150</v>
      </c>
      <c r="E38" s="38" t="s">
        <v>893</v>
      </c>
      <c r="F38" s="38" t="s">
        <v>128</v>
      </c>
      <c r="G38" s="38" t="s">
        <v>130</v>
      </c>
      <c r="H38" s="38" t="s">
        <v>129</v>
      </c>
      <c r="I38" s="38" t="s">
        <v>907</v>
      </c>
      <c r="J38" s="38" t="s">
        <v>132</v>
      </c>
      <c r="K38" s="38" t="s">
        <v>133</v>
      </c>
      <c r="L38" s="38" t="str">
        <f t="shared" si="1"/>
        <v>変更</v>
      </c>
    </row>
    <row r="39" spans="1:12" ht="17.649999999999999" customHeight="1" x14ac:dyDescent="0.55000000000000004">
      <c r="A39" s="38">
        <v>38</v>
      </c>
      <c r="B39" s="38" t="s">
        <v>345</v>
      </c>
      <c r="C39" s="38" t="s">
        <v>349</v>
      </c>
      <c r="D39" s="38" t="s">
        <v>292</v>
      </c>
      <c r="E39" s="38" t="s">
        <v>895</v>
      </c>
      <c r="F39" s="38" t="s">
        <v>251</v>
      </c>
      <c r="G39" s="38" t="s">
        <v>253</v>
      </c>
      <c r="H39" s="38" t="s">
        <v>346</v>
      </c>
      <c r="I39" s="38" t="s">
        <v>908</v>
      </c>
      <c r="J39" s="38" t="s">
        <v>255</v>
      </c>
      <c r="K39" s="38" t="s">
        <v>256</v>
      </c>
      <c r="L39" s="38" t="str">
        <f t="shared" si="1"/>
        <v>変更</v>
      </c>
    </row>
    <row r="40" spans="1:12" ht="17.649999999999999" customHeight="1" x14ac:dyDescent="0.55000000000000004">
      <c r="A40" s="38">
        <v>39</v>
      </c>
      <c r="B40" s="38" t="s">
        <v>350</v>
      </c>
      <c r="C40" s="38" t="s">
        <v>354</v>
      </c>
      <c r="D40" s="38" t="s">
        <v>209</v>
      </c>
      <c r="E40" s="38" t="s">
        <v>897</v>
      </c>
      <c r="F40" s="38" t="s">
        <v>139</v>
      </c>
      <c r="G40" s="38" t="s">
        <v>141</v>
      </c>
      <c r="H40" s="38" t="s">
        <v>351</v>
      </c>
      <c r="I40" s="38" t="s">
        <v>909</v>
      </c>
      <c r="J40" s="38" t="s">
        <v>143</v>
      </c>
      <c r="K40" s="38" t="s">
        <v>144</v>
      </c>
      <c r="L40" s="38" t="str">
        <f t="shared" si="1"/>
        <v>変更</v>
      </c>
    </row>
    <row r="41" spans="1:12" ht="17.649999999999999" customHeight="1" x14ac:dyDescent="0.55000000000000004">
      <c r="A41" s="38">
        <v>40</v>
      </c>
      <c r="B41" s="38" t="s">
        <v>355</v>
      </c>
      <c r="C41" s="38" t="s">
        <v>359</v>
      </c>
      <c r="D41" s="38" t="s">
        <v>307</v>
      </c>
      <c r="E41" s="38" t="s">
        <v>899</v>
      </c>
      <c r="F41" s="38" t="s">
        <v>139</v>
      </c>
      <c r="G41" s="38" t="s">
        <v>141</v>
      </c>
      <c r="H41" s="38" t="s">
        <v>356</v>
      </c>
      <c r="I41" s="38" t="s">
        <v>910</v>
      </c>
      <c r="J41" s="38" t="s">
        <v>143</v>
      </c>
      <c r="K41" s="38" t="s">
        <v>144</v>
      </c>
      <c r="L41" s="38" t="str">
        <f t="shared" si="1"/>
        <v>変更</v>
      </c>
    </row>
    <row r="42" spans="1:12" ht="17.649999999999999" customHeight="1" x14ac:dyDescent="0.55000000000000004">
      <c r="A42" s="38">
        <v>41</v>
      </c>
      <c r="B42" s="38" t="s">
        <v>360</v>
      </c>
      <c r="C42" s="38" t="s">
        <v>370</v>
      </c>
      <c r="D42" s="38" t="s">
        <v>116</v>
      </c>
      <c r="E42" s="38" t="s">
        <v>851</v>
      </c>
      <c r="F42" s="38" t="s">
        <v>361</v>
      </c>
      <c r="G42" s="38" t="s">
        <v>363</v>
      </c>
      <c r="H42" s="38" t="s">
        <v>362</v>
      </c>
      <c r="I42" s="38" t="s">
        <v>911</v>
      </c>
      <c r="J42" s="38" t="s">
        <v>365</v>
      </c>
      <c r="K42" s="38" t="s">
        <v>366</v>
      </c>
      <c r="L42" s="38" t="str">
        <f t="shared" si="1"/>
        <v>変更</v>
      </c>
    </row>
    <row r="43" spans="1:12" ht="17.649999999999999" customHeight="1" x14ac:dyDescent="0.55000000000000004">
      <c r="A43" s="38">
        <v>42</v>
      </c>
      <c r="B43" s="38" t="s">
        <v>371</v>
      </c>
      <c r="C43" s="38" t="s">
        <v>374</v>
      </c>
      <c r="D43" s="38" t="s">
        <v>128</v>
      </c>
      <c r="E43" s="38" t="s">
        <v>10</v>
      </c>
      <c r="F43" s="38" t="s">
        <v>139</v>
      </c>
      <c r="G43" s="38" t="s">
        <v>141</v>
      </c>
      <c r="H43" s="38" t="s">
        <v>372</v>
      </c>
      <c r="I43" s="38" t="s">
        <v>912</v>
      </c>
      <c r="J43" s="38" t="s">
        <v>143</v>
      </c>
      <c r="K43" s="38" t="s">
        <v>144</v>
      </c>
      <c r="L43" s="38" t="str">
        <f t="shared" si="1"/>
        <v>変更</v>
      </c>
    </row>
    <row r="44" spans="1:12" ht="17.649999999999999" customHeight="1" x14ac:dyDescent="0.55000000000000004">
      <c r="A44" s="38">
        <v>43</v>
      </c>
      <c r="B44" s="38" t="s">
        <v>375</v>
      </c>
      <c r="C44" s="38" t="s">
        <v>378</v>
      </c>
      <c r="D44" s="38" t="s">
        <v>139</v>
      </c>
      <c r="E44" s="38" t="s">
        <v>854</v>
      </c>
      <c r="F44" s="38" t="s">
        <v>116</v>
      </c>
      <c r="G44" s="38" t="s">
        <v>118</v>
      </c>
      <c r="H44" s="38" t="s">
        <v>322</v>
      </c>
      <c r="I44" s="38" t="s">
        <v>913</v>
      </c>
      <c r="J44" s="38" t="s">
        <v>120</v>
      </c>
      <c r="K44" s="38" t="s">
        <v>121</v>
      </c>
      <c r="L44" s="38" t="str">
        <f t="shared" si="1"/>
        <v>変更</v>
      </c>
    </row>
    <row r="45" spans="1:12" ht="17.649999999999999" customHeight="1" x14ac:dyDescent="0.55000000000000004">
      <c r="A45" s="38">
        <v>44</v>
      </c>
      <c r="B45" s="38" t="s">
        <v>379</v>
      </c>
      <c r="C45" s="38" t="s">
        <v>382</v>
      </c>
      <c r="D45" s="38" t="s">
        <v>220</v>
      </c>
      <c r="E45" s="38" t="s">
        <v>914</v>
      </c>
      <c r="F45" s="38" t="s">
        <v>183</v>
      </c>
      <c r="G45" s="38" t="s">
        <v>185</v>
      </c>
      <c r="H45" s="38" t="s">
        <v>380</v>
      </c>
      <c r="I45" s="38" t="s">
        <v>915</v>
      </c>
      <c r="J45" s="38" t="s">
        <v>187</v>
      </c>
      <c r="K45" s="38" t="s">
        <v>188</v>
      </c>
      <c r="L45" s="38" t="str">
        <f t="shared" si="1"/>
        <v>変更</v>
      </c>
    </row>
    <row r="46" spans="1:12" ht="17.649999999999999" customHeight="1" x14ac:dyDescent="0.55000000000000004">
      <c r="A46" s="38">
        <v>45</v>
      </c>
      <c r="B46" s="38" t="s">
        <v>383</v>
      </c>
      <c r="C46" s="38" t="s">
        <v>387</v>
      </c>
      <c r="D46" s="38" t="s">
        <v>171</v>
      </c>
      <c r="E46" s="38" t="s">
        <v>874</v>
      </c>
      <c r="F46" s="38" t="s">
        <v>361</v>
      </c>
      <c r="G46" s="38" t="s">
        <v>363</v>
      </c>
      <c r="H46" s="38" t="s">
        <v>384</v>
      </c>
      <c r="I46" s="38" t="s">
        <v>916</v>
      </c>
      <c r="J46" s="38" t="s">
        <v>365</v>
      </c>
      <c r="K46" s="38" t="s">
        <v>366</v>
      </c>
      <c r="L46" s="38" t="str">
        <f t="shared" si="1"/>
        <v>変更</v>
      </c>
    </row>
    <row r="47" spans="1:12" ht="17.649999999999999" customHeight="1" x14ac:dyDescent="0.55000000000000004">
      <c r="A47" s="38">
        <v>46</v>
      </c>
      <c r="B47" s="38" t="s">
        <v>388</v>
      </c>
      <c r="C47" s="38" t="s">
        <v>392</v>
      </c>
      <c r="D47" s="38" t="s">
        <v>183</v>
      </c>
      <c r="E47" s="38" t="s">
        <v>891</v>
      </c>
      <c r="F47" s="38" t="s">
        <v>292</v>
      </c>
      <c r="G47" s="38" t="s">
        <v>294</v>
      </c>
      <c r="H47" s="38" t="s">
        <v>389</v>
      </c>
      <c r="I47" s="38" t="s">
        <v>917</v>
      </c>
      <c r="J47" s="38" t="s">
        <v>295</v>
      </c>
      <c r="K47" s="38" t="s">
        <v>296</v>
      </c>
      <c r="L47" s="38" t="str">
        <f t="shared" si="1"/>
        <v>変更</v>
      </c>
    </row>
    <row r="48" spans="1:12" ht="17.649999999999999" customHeight="1" x14ac:dyDescent="0.55000000000000004">
      <c r="A48" s="38">
        <v>47</v>
      </c>
      <c r="B48" s="38" t="s">
        <v>393</v>
      </c>
      <c r="C48" s="38" t="s">
        <v>396</v>
      </c>
      <c r="D48" s="38" t="s">
        <v>150</v>
      </c>
      <c r="E48" s="38" t="s">
        <v>893</v>
      </c>
      <c r="F48" s="38" t="s">
        <v>116</v>
      </c>
      <c r="G48" s="38" t="s">
        <v>118</v>
      </c>
      <c r="H48" s="38" t="s">
        <v>337</v>
      </c>
      <c r="I48" s="38" t="s">
        <v>918</v>
      </c>
      <c r="J48" s="38" t="s">
        <v>120</v>
      </c>
      <c r="K48" s="38" t="s">
        <v>121</v>
      </c>
      <c r="L48" s="38" t="str">
        <f t="shared" si="1"/>
        <v>変更</v>
      </c>
    </row>
    <row r="49" spans="1:12" ht="17.649999999999999" customHeight="1" x14ac:dyDescent="0.55000000000000004">
      <c r="A49" s="38">
        <v>48</v>
      </c>
      <c r="B49" s="38" t="s">
        <v>397</v>
      </c>
      <c r="C49" s="38" t="s">
        <v>400</v>
      </c>
      <c r="D49" s="38" t="s">
        <v>292</v>
      </c>
      <c r="E49" s="38" t="s">
        <v>895</v>
      </c>
      <c r="F49" s="38" t="s">
        <v>139</v>
      </c>
      <c r="G49" s="38" t="s">
        <v>141</v>
      </c>
      <c r="H49" s="38" t="s">
        <v>398</v>
      </c>
      <c r="I49" s="38" t="s">
        <v>919</v>
      </c>
      <c r="J49" s="38" t="s">
        <v>143</v>
      </c>
      <c r="K49" s="38" t="s">
        <v>144</v>
      </c>
      <c r="L49" s="38" t="str">
        <f t="shared" si="1"/>
        <v>変更</v>
      </c>
    </row>
    <row r="50" spans="1:12" ht="17.649999999999999" customHeight="1" x14ac:dyDescent="0.55000000000000004">
      <c r="A50" s="38">
        <v>49</v>
      </c>
      <c r="B50" s="38" t="s">
        <v>401</v>
      </c>
      <c r="C50" s="38" t="s">
        <v>405</v>
      </c>
      <c r="D50" s="38" t="s">
        <v>209</v>
      </c>
      <c r="E50" s="38" t="s">
        <v>897</v>
      </c>
      <c r="F50" s="38" t="s">
        <v>128</v>
      </c>
      <c r="G50" s="38" t="s">
        <v>130</v>
      </c>
      <c r="H50" s="38" t="s">
        <v>402</v>
      </c>
      <c r="I50" s="38" t="s">
        <v>920</v>
      </c>
      <c r="J50" s="38" t="s">
        <v>132</v>
      </c>
      <c r="K50" s="38" t="s">
        <v>133</v>
      </c>
      <c r="L50" s="38" t="str">
        <f t="shared" si="1"/>
        <v>変更</v>
      </c>
    </row>
    <row r="51" spans="1:12" ht="17.649999999999999" customHeight="1" x14ac:dyDescent="0.55000000000000004">
      <c r="A51" s="38">
        <v>50</v>
      </c>
      <c r="B51" s="38" t="s">
        <v>406</v>
      </c>
      <c r="C51" s="38" t="s">
        <v>408</v>
      </c>
      <c r="D51" s="38" t="s">
        <v>307</v>
      </c>
      <c r="E51" s="38" t="s">
        <v>899</v>
      </c>
      <c r="F51" s="38" t="s">
        <v>116</v>
      </c>
      <c r="G51" s="38" t="s">
        <v>118</v>
      </c>
      <c r="H51" s="38" t="s">
        <v>337</v>
      </c>
      <c r="I51" s="38" t="s">
        <v>921</v>
      </c>
      <c r="J51" s="38" t="s">
        <v>120</v>
      </c>
      <c r="K51" s="38" t="s">
        <v>121</v>
      </c>
      <c r="L51" s="38" t="str">
        <f t="shared" si="1"/>
        <v>変更</v>
      </c>
    </row>
    <row r="52" spans="1:12" ht="17.649999999999999" customHeight="1" x14ac:dyDescent="0.55000000000000004">
      <c r="A52" s="38">
        <v>51</v>
      </c>
      <c r="B52" s="38" t="s">
        <v>409</v>
      </c>
      <c r="C52" s="38" t="s">
        <v>412</v>
      </c>
      <c r="D52" s="38" t="s">
        <v>116</v>
      </c>
      <c r="E52" s="38" t="s">
        <v>851</v>
      </c>
      <c r="F52" s="38" t="s">
        <v>361</v>
      </c>
      <c r="G52" s="38" t="s">
        <v>363</v>
      </c>
      <c r="H52" s="38" t="s">
        <v>410</v>
      </c>
      <c r="I52" s="38" t="s">
        <v>922</v>
      </c>
      <c r="J52" s="38" t="s">
        <v>365</v>
      </c>
      <c r="K52" s="38" t="s">
        <v>366</v>
      </c>
      <c r="L52" s="38" t="str">
        <f t="shared" si="1"/>
        <v>変更</v>
      </c>
    </row>
    <row r="53" spans="1:12" ht="17.649999999999999" customHeight="1" x14ac:dyDescent="0.55000000000000004">
      <c r="A53" s="38">
        <v>52</v>
      </c>
      <c r="B53" s="38" t="s">
        <v>413</v>
      </c>
      <c r="C53" s="38" t="s">
        <v>415</v>
      </c>
      <c r="D53" s="38" t="s">
        <v>128</v>
      </c>
      <c r="E53" s="38" t="s">
        <v>10</v>
      </c>
      <c r="F53" s="38" t="s">
        <v>183</v>
      </c>
      <c r="G53" s="38" t="s">
        <v>185</v>
      </c>
      <c r="H53" s="38" t="s">
        <v>380</v>
      </c>
      <c r="I53" s="38" t="s">
        <v>923</v>
      </c>
      <c r="J53" s="38" t="s">
        <v>187</v>
      </c>
      <c r="K53" s="38" t="s">
        <v>188</v>
      </c>
      <c r="L53" s="38" t="str">
        <f t="shared" si="1"/>
        <v>変更</v>
      </c>
    </row>
    <row r="54" spans="1:12" ht="17.649999999999999" customHeight="1" x14ac:dyDescent="0.55000000000000004">
      <c r="A54" s="38">
        <v>53</v>
      </c>
      <c r="B54" s="38" t="s">
        <v>416</v>
      </c>
      <c r="C54" s="38" t="s">
        <v>419</v>
      </c>
      <c r="D54" s="38" t="s">
        <v>139</v>
      </c>
      <c r="E54" s="38" t="s">
        <v>854</v>
      </c>
      <c r="F54" s="38" t="s">
        <v>128</v>
      </c>
      <c r="G54" s="38" t="s">
        <v>130</v>
      </c>
      <c r="H54" s="38" t="s">
        <v>129</v>
      </c>
      <c r="I54" s="38" t="s">
        <v>924</v>
      </c>
      <c r="J54" s="38" t="s">
        <v>132</v>
      </c>
      <c r="K54" s="38" t="s">
        <v>133</v>
      </c>
      <c r="L54" s="38" t="str">
        <f t="shared" si="1"/>
        <v>変更</v>
      </c>
    </row>
    <row r="55" spans="1:12" ht="17.649999999999999" customHeight="1" x14ac:dyDescent="0.55000000000000004">
      <c r="A55" s="38">
        <v>54</v>
      </c>
      <c r="B55" s="38" t="s">
        <v>420</v>
      </c>
      <c r="C55" s="38" t="s">
        <v>423</v>
      </c>
      <c r="D55" s="38" t="s">
        <v>220</v>
      </c>
      <c r="E55" s="38" t="s">
        <v>888</v>
      </c>
      <c r="F55" s="38" t="s">
        <v>139</v>
      </c>
      <c r="G55" s="38" t="s">
        <v>141</v>
      </c>
      <c r="H55" s="38" t="s">
        <v>372</v>
      </c>
      <c r="I55" s="38" t="s">
        <v>925</v>
      </c>
      <c r="J55" s="38" t="s">
        <v>143</v>
      </c>
      <c r="K55" s="38" t="s">
        <v>144</v>
      </c>
      <c r="L55" s="38" t="str">
        <f t="shared" si="1"/>
        <v>変更</v>
      </c>
    </row>
    <row r="56" spans="1:12" ht="17.649999999999999" customHeight="1" x14ac:dyDescent="0.55000000000000004">
      <c r="A56" s="38">
        <v>55</v>
      </c>
      <c r="B56" s="38" t="s">
        <v>424</v>
      </c>
      <c r="C56" s="38" t="s">
        <v>434</v>
      </c>
      <c r="D56" s="38" t="s">
        <v>171</v>
      </c>
      <c r="E56" s="38" t="s">
        <v>874</v>
      </c>
      <c r="F56" s="38" t="s">
        <v>425</v>
      </c>
      <c r="G56" s="38" t="s">
        <v>427</v>
      </c>
      <c r="H56" s="38" t="s">
        <v>426</v>
      </c>
      <c r="I56" s="38" t="s">
        <v>926</v>
      </c>
      <c r="J56" s="38" t="s">
        <v>429</v>
      </c>
      <c r="K56" s="38" t="s">
        <v>430</v>
      </c>
      <c r="L56" s="38" t="str">
        <f t="shared" si="1"/>
        <v>変更</v>
      </c>
    </row>
    <row r="57" spans="1:12" ht="17.649999999999999" customHeight="1" x14ac:dyDescent="0.55000000000000004">
      <c r="A57" s="38">
        <v>56</v>
      </c>
      <c r="B57" s="38" t="s">
        <v>435</v>
      </c>
      <c r="C57" s="38" t="s">
        <v>437</v>
      </c>
      <c r="D57" s="38" t="s">
        <v>183</v>
      </c>
      <c r="E57" s="38" t="s">
        <v>891</v>
      </c>
      <c r="F57" s="38" t="s">
        <v>139</v>
      </c>
      <c r="G57" s="38" t="s">
        <v>141</v>
      </c>
      <c r="H57" s="38" t="s">
        <v>372</v>
      </c>
      <c r="I57" s="38" t="s">
        <v>927</v>
      </c>
      <c r="J57" s="38" t="s">
        <v>143</v>
      </c>
      <c r="K57" s="38" t="s">
        <v>144</v>
      </c>
      <c r="L57" s="38" t="str">
        <f t="shared" si="1"/>
        <v>変更</v>
      </c>
    </row>
    <row r="58" spans="1:12" ht="17.649999999999999" customHeight="1" x14ac:dyDescent="0.55000000000000004">
      <c r="A58" s="38">
        <v>57</v>
      </c>
      <c r="B58" s="38" t="s">
        <v>438</v>
      </c>
      <c r="C58" s="38" t="s">
        <v>442</v>
      </c>
      <c r="D58" s="38" t="s">
        <v>150</v>
      </c>
      <c r="E58" s="38" t="s">
        <v>893</v>
      </c>
      <c r="F58" s="38" t="s">
        <v>150</v>
      </c>
      <c r="G58" s="38" t="s">
        <v>152</v>
      </c>
      <c r="H58" s="38" t="s">
        <v>439</v>
      </c>
      <c r="I58" s="38" t="s">
        <v>928</v>
      </c>
      <c r="J58" s="38" t="s">
        <v>154</v>
      </c>
      <c r="K58" s="38" t="s">
        <v>155</v>
      </c>
      <c r="L58" s="38" t="str">
        <f t="shared" si="1"/>
        <v>変更</v>
      </c>
    </row>
    <row r="59" spans="1:12" ht="17.649999999999999" customHeight="1" x14ac:dyDescent="0.55000000000000004">
      <c r="A59" s="38">
        <v>58</v>
      </c>
      <c r="B59" s="38" t="s">
        <v>443</v>
      </c>
      <c r="C59" s="38" t="s">
        <v>447</v>
      </c>
      <c r="D59" s="38" t="s">
        <v>292</v>
      </c>
      <c r="E59" s="38" t="s">
        <v>895</v>
      </c>
      <c r="F59" s="38" t="s">
        <v>251</v>
      </c>
      <c r="G59" s="38" t="s">
        <v>253</v>
      </c>
      <c r="H59" s="38" t="s">
        <v>444</v>
      </c>
      <c r="I59" s="38" t="s">
        <v>929</v>
      </c>
      <c r="J59" s="38" t="s">
        <v>255</v>
      </c>
      <c r="K59" s="38" t="s">
        <v>256</v>
      </c>
      <c r="L59" s="38" t="str">
        <f t="shared" si="1"/>
        <v>変更</v>
      </c>
    </row>
    <row r="60" spans="1:12" ht="17.649999999999999" customHeight="1" x14ac:dyDescent="0.55000000000000004">
      <c r="A60" s="38">
        <v>59</v>
      </c>
      <c r="B60" s="38" t="s">
        <v>448</v>
      </c>
      <c r="C60" s="38" t="s">
        <v>452</v>
      </c>
      <c r="D60" s="38" t="s">
        <v>209</v>
      </c>
      <c r="E60" s="38" t="s">
        <v>897</v>
      </c>
      <c r="F60" s="38" t="s">
        <v>220</v>
      </c>
      <c r="G60" s="38" t="s">
        <v>221</v>
      </c>
      <c r="H60" s="38" t="s">
        <v>449</v>
      </c>
      <c r="I60" s="38" t="s">
        <v>930</v>
      </c>
      <c r="J60" s="38" t="s">
        <v>222</v>
      </c>
      <c r="K60" s="38" t="s">
        <v>223</v>
      </c>
      <c r="L60" s="38" t="str">
        <f t="shared" si="1"/>
        <v>変更</v>
      </c>
    </row>
    <row r="61" spans="1:12" ht="17.649999999999999" customHeight="1" x14ac:dyDescent="0.55000000000000004">
      <c r="A61" s="38">
        <v>60</v>
      </c>
      <c r="B61" s="38" t="s">
        <v>453</v>
      </c>
      <c r="C61" s="38" t="s">
        <v>457</v>
      </c>
      <c r="D61" s="38" t="s">
        <v>307</v>
      </c>
      <c r="E61" s="38" t="s">
        <v>899</v>
      </c>
      <c r="F61" s="38" t="s">
        <v>361</v>
      </c>
      <c r="G61" s="38" t="s">
        <v>363</v>
      </c>
      <c r="H61" s="38" t="s">
        <v>454</v>
      </c>
      <c r="I61" s="38" t="s">
        <v>931</v>
      </c>
      <c r="J61" s="38" t="s">
        <v>365</v>
      </c>
      <c r="K61" s="38" t="s">
        <v>366</v>
      </c>
      <c r="L61" s="38" t="str">
        <f t="shared" si="1"/>
        <v>変更</v>
      </c>
    </row>
    <row r="62" spans="1:12" ht="17.649999999999999" customHeight="1" x14ac:dyDescent="0.55000000000000004">
      <c r="A62" s="38">
        <v>61</v>
      </c>
      <c r="B62" s="38" t="s">
        <v>458</v>
      </c>
      <c r="C62" s="38" t="s">
        <v>460</v>
      </c>
      <c r="D62" s="38" t="s">
        <v>116</v>
      </c>
      <c r="E62" s="38" t="s">
        <v>851</v>
      </c>
      <c r="F62" s="38" t="s">
        <v>116</v>
      </c>
      <c r="G62" s="38" t="s">
        <v>118</v>
      </c>
      <c r="H62" s="38" t="s">
        <v>337</v>
      </c>
      <c r="I62" s="38" t="s">
        <v>932</v>
      </c>
      <c r="J62" s="38" t="s">
        <v>120</v>
      </c>
      <c r="K62" s="38" t="s">
        <v>121</v>
      </c>
      <c r="L62" s="38" t="str">
        <f t="shared" si="1"/>
        <v>変更</v>
      </c>
    </row>
    <row r="63" spans="1:12" ht="17.649999999999999" customHeight="1" x14ac:dyDescent="0.55000000000000004">
      <c r="A63" s="38">
        <v>62</v>
      </c>
      <c r="B63" s="38" t="s">
        <v>461</v>
      </c>
      <c r="C63" s="38" t="s">
        <v>463</v>
      </c>
      <c r="D63" s="38" t="s">
        <v>128</v>
      </c>
      <c r="E63" s="38" t="s">
        <v>10</v>
      </c>
      <c r="F63" s="38" t="s">
        <v>128</v>
      </c>
      <c r="G63" s="38" t="s">
        <v>130</v>
      </c>
      <c r="H63" s="38" t="s">
        <v>129</v>
      </c>
      <c r="I63" s="38" t="s">
        <v>933</v>
      </c>
      <c r="J63" s="38" t="s">
        <v>132</v>
      </c>
      <c r="K63" s="38" t="s">
        <v>133</v>
      </c>
      <c r="L63" s="38" t="str">
        <f t="shared" si="1"/>
        <v>変更</v>
      </c>
    </row>
    <row r="64" spans="1:12" ht="17.649999999999999" customHeight="1" x14ac:dyDescent="0.55000000000000004">
      <c r="A64" s="38">
        <v>63</v>
      </c>
      <c r="B64" s="38" t="s">
        <v>464</v>
      </c>
      <c r="C64" s="38" t="s">
        <v>466</v>
      </c>
      <c r="D64" s="38" t="s">
        <v>139</v>
      </c>
      <c r="E64" s="38" t="s">
        <v>854</v>
      </c>
      <c r="F64" s="38" t="s">
        <v>139</v>
      </c>
      <c r="G64" s="38" t="s">
        <v>141</v>
      </c>
      <c r="H64" s="38" t="s">
        <v>372</v>
      </c>
      <c r="I64" s="38" t="s">
        <v>934</v>
      </c>
      <c r="J64" s="38" t="s">
        <v>143</v>
      </c>
      <c r="K64" s="38" t="s">
        <v>144</v>
      </c>
      <c r="L64" s="38" t="str">
        <f t="shared" si="1"/>
        <v>変更</v>
      </c>
    </row>
    <row r="65" spans="1:12" ht="17.649999999999999" customHeight="1" x14ac:dyDescent="0.55000000000000004">
      <c r="A65" s="38">
        <v>64</v>
      </c>
      <c r="B65" s="38" t="s">
        <v>467</v>
      </c>
      <c r="C65" s="38" t="s">
        <v>470</v>
      </c>
      <c r="D65" s="38" t="s">
        <v>220</v>
      </c>
      <c r="E65" s="38" t="s">
        <v>856</v>
      </c>
      <c r="F65" s="38" t="s">
        <v>425</v>
      </c>
      <c r="G65" s="38" t="s">
        <v>427</v>
      </c>
      <c r="H65" s="38" t="s">
        <v>468</v>
      </c>
      <c r="I65" s="38" t="s">
        <v>935</v>
      </c>
      <c r="J65" s="38" t="s">
        <v>429</v>
      </c>
      <c r="K65" s="38" t="s">
        <v>430</v>
      </c>
      <c r="L65" s="38" t="str">
        <f t="shared" si="1"/>
        <v>変更</v>
      </c>
    </row>
    <row r="66" spans="1:12" ht="17.649999999999999" customHeight="1" x14ac:dyDescent="0.55000000000000004">
      <c r="A66" s="38">
        <v>65</v>
      </c>
      <c r="B66" s="38" t="s">
        <v>471</v>
      </c>
      <c r="C66" s="38" t="s">
        <v>475</v>
      </c>
      <c r="D66" s="38" t="s">
        <v>171</v>
      </c>
      <c r="E66" s="38" t="s">
        <v>874</v>
      </c>
      <c r="F66" s="38" t="s">
        <v>361</v>
      </c>
      <c r="G66" s="38" t="s">
        <v>363</v>
      </c>
      <c r="H66" s="38" t="s">
        <v>472</v>
      </c>
      <c r="I66" s="38" t="s">
        <v>936</v>
      </c>
      <c r="J66" s="38" t="s">
        <v>365</v>
      </c>
      <c r="K66" s="38" t="s">
        <v>366</v>
      </c>
      <c r="L66" s="38" t="str">
        <f t="shared" ref="L66:L91" si="2">IF(AND(D66=F66,E66=H66),"維持","変更")</f>
        <v>変更</v>
      </c>
    </row>
    <row r="67" spans="1:12" ht="17.649999999999999" customHeight="1" x14ac:dyDescent="0.55000000000000004">
      <c r="A67" s="38">
        <v>66</v>
      </c>
      <c r="B67" s="38" t="s">
        <v>476</v>
      </c>
      <c r="C67" s="38" t="s">
        <v>479</v>
      </c>
      <c r="D67" s="38" t="s">
        <v>183</v>
      </c>
      <c r="E67" s="38" t="s">
        <v>891</v>
      </c>
      <c r="F67" s="38" t="s">
        <v>425</v>
      </c>
      <c r="G67" s="38" t="s">
        <v>427</v>
      </c>
      <c r="H67" s="38" t="s">
        <v>477</v>
      </c>
      <c r="I67" s="38" t="s">
        <v>937</v>
      </c>
      <c r="J67" s="38" t="s">
        <v>429</v>
      </c>
      <c r="K67" s="38" t="s">
        <v>430</v>
      </c>
      <c r="L67" s="38" t="str">
        <f t="shared" si="2"/>
        <v>変更</v>
      </c>
    </row>
    <row r="68" spans="1:12" ht="17.649999999999999" customHeight="1" x14ac:dyDescent="0.55000000000000004">
      <c r="A68" s="38">
        <v>67</v>
      </c>
      <c r="B68" s="38" t="s">
        <v>480</v>
      </c>
      <c r="C68" s="38" t="s">
        <v>482</v>
      </c>
      <c r="D68" s="38" t="s">
        <v>150</v>
      </c>
      <c r="E68" s="38" t="s">
        <v>893</v>
      </c>
      <c r="F68" s="38" t="s">
        <v>139</v>
      </c>
      <c r="G68" s="38" t="s">
        <v>141</v>
      </c>
      <c r="H68" s="38" t="s">
        <v>333</v>
      </c>
      <c r="I68" s="38" t="s">
        <v>938</v>
      </c>
      <c r="J68" s="38" t="s">
        <v>143</v>
      </c>
      <c r="K68" s="38" t="s">
        <v>144</v>
      </c>
      <c r="L68" s="38" t="str">
        <f t="shared" si="2"/>
        <v>変更</v>
      </c>
    </row>
    <row r="69" spans="1:12" ht="17.649999999999999" customHeight="1" x14ac:dyDescent="0.55000000000000004">
      <c r="A69" s="38">
        <v>68</v>
      </c>
      <c r="B69" s="38" t="s">
        <v>483</v>
      </c>
      <c r="C69" s="38" t="s">
        <v>486</v>
      </c>
      <c r="D69" s="38" t="s">
        <v>292</v>
      </c>
      <c r="E69" s="38" t="s">
        <v>895</v>
      </c>
      <c r="F69" s="38" t="s">
        <v>425</v>
      </c>
      <c r="G69" s="38" t="s">
        <v>427</v>
      </c>
      <c r="H69" s="38" t="s">
        <v>484</v>
      </c>
      <c r="I69" s="38" t="s">
        <v>939</v>
      </c>
      <c r="J69" s="38" t="s">
        <v>429</v>
      </c>
      <c r="K69" s="38" t="s">
        <v>430</v>
      </c>
      <c r="L69" s="38" t="str">
        <f t="shared" si="2"/>
        <v>変更</v>
      </c>
    </row>
    <row r="70" spans="1:12" ht="17.649999999999999" customHeight="1" x14ac:dyDescent="0.55000000000000004">
      <c r="A70" s="38">
        <v>69</v>
      </c>
      <c r="B70" s="38" t="s">
        <v>487</v>
      </c>
      <c r="C70" s="38" t="s">
        <v>490</v>
      </c>
      <c r="D70" s="38" t="s">
        <v>209</v>
      </c>
      <c r="E70" s="38" t="s">
        <v>897</v>
      </c>
      <c r="F70" s="38" t="s">
        <v>150</v>
      </c>
      <c r="G70" s="38" t="s">
        <v>152</v>
      </c>
      <c r="H70" s="38" t="s">
        <v>488</v>
      </c>
      <c r="I70" s="38" t="s">
        <v>940</v>
      </c>
      <c r="J70" s="38" t="s">
        <v>154</v>
      </c>
      <c r="K70" s="38" t="s">
        <v>155</v>
      </c>
      <c r="L70" s="38" t="str">
        <f t="shared" si="2"/>
        <v>変更</v>
      </c>
    </row>
    <row r="71" spans="1:12" ht="17.649999999999999" customHeight="1" x14ac:dyDescent="0.55000000000000004">
      <c r="A71" s="38">
        <v>70</v>
      </c>
      <c r="B71" s="38" t="s">
        <v>491</v>
      </c>
      <c r="C71" s="38" t="s">
        <v>495</v>
      </c>
      <c r="D71" s="38" t="s">
        <v>307</v>
      </c>
      <c r="E71" s="38" t="s">
        <v>899</v>
      </c>
      <c r="F71" s="38" t="s">
        <v>171</v>
      </c>
      <c r="G71" s="38" t="s">
        <v>173</v>
      </c>
      <c r="H71" s="38" t="s">
        <v>492</v>
      </c>
      <c r="I71" s="38" t="s">
        <v>941</v>
      </c>
      <c r="J71" s="38" t="s">
        <v>175</v>
      </c>
      <c r="K71" s="38" t="s">
        <v>176</v>
      </c>
      <c r="L71" s="38" t="str">
        <f t="shared" si="2"/>
        <v>変更</v>
      </c>
    </row>
    <row r="72" spans="1:12" ht="17.649999999999999" customHeight="1" x14ac:dyDescent="0.55000000000000004">
      <c r="A72" s="38">
        <v>71</v>
      </c>
      <c r="B72" s="38" t="s">
        <v>496</v>
      </c>
      <c r="C72" s="38" t="s">
        <v>499</v>
      </c>
      <c r="D72" s="38" t="s">
        <v>116</v>
      </c>
      <c r="E72" s="38" t="s">
        <v>851</v>
      </c>
      <c r="F72" s="38" t="s">
        <v>139</v>
      </c>
      <c r="G72" s="38" t="s">
        <v>141</v>
      </c>
      <c r="H72" s="38" t="s">
        <v>372</v>
      </c>
      <c r="I72" s="38" t="s">
        <v>942</v>
      </c>
      <c r="J72" s="38" t="s">
        <v>143</v>
      </c>
      <c r="K72" s="38" t="s">
        <v>144</v>
      </c>
      <c r="L72" s="38" t="str">
        <f t="shared" si="2"/>
        <v>変更</v>
      </c>
    </row>
    <row r="73" spans="1:12" ht="17.649999999999999" customHeight="1" x14ac:dyDescent="0.55000000000000004">
      <c r="A73" s="38">
        <v>72</v>
      </c>
      <c r="B73" s="38" t="s">
        <v>500</v>
      </c>
      <c r="C73" s="38" t="s">
        <v>502</v>
      </c>
      <c r="D73" s="38" t="s">
        <v>128</v>
      </c>
      <c r="E73" s="38" t="s">
        <v>10</v>
      </c>
      <c r="F73" s="38" t="s">
        <v>116</v>
      </c>
      <c r="G73" s="38" t="s">
        <v>118</v>
      </c>
      <c r="H73" s="38" t="s">
        <v>117</v>
      </c>
      <c r="I73" s="38" t="s">
        <v>943</v>
      </c>
      <c r="J73" s="38" t="s">
        <v>120</v>
      </c>
      <c r="K73" s="38" t="s">
        <v>121</v>
      </c>
      <c r="L73" s="38" t="str">
        <f t="shared" si="2"/>
        <v>変更</v>
      </c>
    </row>
    <row r="74" spans="1:12" ht="17.649999999999999" customHeight="1" x14ac:dyDescent="0.55000000000000004">
      <c r="A74" s="38">
        <v>73</v>
      </c>
      <c r="B74" s="38" t="s">
        <v>503</v>
      </c>
      <c r="C74" s="38" t="s">
        <v>507</v>
      </c>
      <c r="D74" s="38" t="s">
        <v>139</v>
      </c>
      <c r="E74" s="38" t="s">
        <v>854</v>
      </c>
      <c r="F74" s="38" t="s">
        <v>116</v>
      </c>
      <c r="G74" s="38" t="s">
        <v>118</v>
      </c>
      <c r="H74" s="38" t="s">
        <v>504</v>
      </c>
      <c r="I74" s="38" t="s">
        <v>944</v>
      </c>
      <c r="J74" s="38" t="s">
        <v>120</v>
      </c>
      <c r="K74" s="38" t="s">
        <v>121</v>
      </c>
      <c r="L74" s="38" t="str">
        <f t="shared" si="2"/>
        <v>変更</v>
      </c>
    </row>
    <row r="75" spans="1:12" ht="17.649999999999999" customHeight="1" x14ac:dyDescent="0.55000000000000004">
      <c r="A75" s="38">
        <v>74</v>
      </c>
      <c r="B75" s="38" t="s">
        <v>508</v>
      </c>
      <c r="C75" s="38" t="s">
        <v>510</v>
      </c>
      <c r="D75" s="38" t="s">
        <v>220</v>
      </c>
      <c r="E75" s="38" t="s">
        <v>914</v>
      </c>
      <c r="F75" s="38" t="s">
        <v>220</v>
      </c>
      <c r="G75" s="38" t="s">
        <v>221</v>
      </c>
      <c r="H75" s="38" t="s">
        <v>380</v>
      </c>
      <c r="I75" s="38" t="s">
        <v>945</v>
      </c>
      <c r="J75" s="38" t="s">
        <v>222</v>
      </c>
      <c r="K75" s="38" t="s">
        <v>223</v>
      </c>
      <c r="L75" s="38" t="str">
        <f t="shared" si="2"/>
        <v>変更</v>
      </c>
    </row>
    <row r="76" spans="1:12" ht="17.649999999999999" customHeight="1" x14ac:dyDescent="0.55000000000000004">
      <c r="A76" s="38">
        <v>75</v>
      </c>
      <c r="B76" s="38" t="s">
        <v>511</v>
      </c>
      <c r="C76" s="38" t="s">
        <v>514</v>
      </c>
      <c r="D76" s="38" t="s">
        <v>171</v>
      </c>
      <c r="E76" s="38" t="s">
        <v>874</v>
      </c>
      <c r="F76" s="38" t="s">
        <v>425</v>
      </c>
      <c r="G76" s="38" t="s">
        <v>427</v>
      </c>
      <c r="H76" s="38" t="s">
        <v>512</v>
      </c>
      <c r="I76" s="38" t="s">
        <v>946</v>
      </c>
      <c r="J76" s="38" t="s">
        <v>429</v>
      </c>
      <c r="K76" s="38" t="s">
        <v>430</v>
      </c>
      <c r="L76" s="38" t="str">
        <f t="shared" si="2"/>
        <v>変更</v>
      </c>
    </row>
    <row r="77" spans="1:12" ht="17.649999999999999" customHeight="1" x14ac:dyDescent="0.55000000000000004">
      <c r="A77" s="38">
        <v>76</v>
      </c>
      <c r="B77" s="38" t="s">
        <v>515</v>
      </c>
      <c r="C77" s="38" t="s">
        <v>518</v>
      </c>
      <c r="D77" s="38" t="s">
        <v>183</v>
      </c>
      <c r="E77" s="38" t="s">
        <v>891</v>
      </c>
      <c r="F77" s="38" t="s">
        <v>220</v>
      </c>
      <c r="G77" s="38" t="s">
        <v>221</v>
      </c>
      <c r="H77" s="38" t="s">
        <v>233</v>
      </c>
      <c r="I77" s="38" t="s">
        <v>947</v>
      </c>
      <c r="J77" s="38" t="s">
        <v>222</v>
      </c>
      <c r="K77" s="38" t="s">
        <v>223</v>
      </c>
      <c r="L77" s="38" t="str">
        <f t="shared" si="2"/>
        <v>変更</v>
      </c>
    </row>
    <row r="78" spans="1:12" ht="17.649999999999999" customHeight="1" x14ac:dyDescent="0.55000000000000004">
      <c r="A78" s="38">
        <v>77</v>
      </c>
      <c r="B78" s="38" t="s">
        <v>519</v>
      </c>
      <c r="C78" s="38" t="s">
        <v>521</v>
      </c>
      <c r="D78" s="38" t="s">
        <v>150</v>
      </c>
      <c r="E78" s="38" t="s">
        <v>893</v>
      </c>
      <c r="F78" s="38" t="s">
        <v>139</v>
      </c>
      <c r="G78" s="38" t="s">
        <v>141</v>
      </c>
      <c r="H78" s="38" t="s">
        <v>372</v>
      </c>
      <c r="I78" s="38" t="s">
        <v>948</v>
      </c>
      <c r="J78" s="38" t="s">
        <v>143</v>
      </c>
      <c r="K78" s="38" t="s">
        <v>144</v>
      </c>
      <c r="L78" s="38" t="str">
        <f t="shared" si="2"/>
        <v>変更</v>
      </c>
    </row>
    <row r="79" spans="1:12" ht="17.649999999999999" customHeight="1" x14ac:dyDescent="0.55000000000000004">
      <c r="A79" s="38">
        <v>78</v>
      </c>
      <c r="B79" s="38" t="s">
        <v>522</v>
      </c>
      <c r="C79" s="38" t="s">
        <v>525</v>
      </c>
      <c r="D79" s="38" t="s">
        <v>292</v>
      </c>
      <c r="E79" s="38" t="s">
        <v>895</v>
      </c>
      <c r="F79" s="38" t="s">
        <v>116</v>
      </c>
      <c r="G79" s="38" t="s">
        <v>118</v>
      </c>
      <c r="H79" s="38" t="s">
        <v>117</v>
      </c>
      <c r="I79" s="38" t="s">
        <v>949</v>
      </c>
      <c r="J79" s="38" t="s">
        <v>120</v>
      </c>
      <c r="K79" s="38" t="s">
        <v>121</v>
      </c>
      <c r="L79" s="38" t="str">
        <f t="shared" si="2"/>
        <v>変更</v>
      </c>
    </row>
    <row r="80" spans="1:12" ht="17.649999999999999" customHeight="1" x14ac:dyDescent="0.55000000000000004">
      <c r="A80" s="38">
        <v>79</v>
      </c>
      <c r="B80" s="38" t="s">
        <v>526</v>
      </c>
      <c r="C80" s="38" t="s">
        <v>529</v>
      </c>
      <c r="D80" s="38" t="s">
        <v>209</v>
      </c>
      <c r="E80" s="38" t="s">
        <v>897</v>
      </c>
      <c r="F80" s="38" t="s">
        <v>128</v>
      </c>
      <c r="G80" s="38" t="s">
        <v>130</v>
      </c>
      <c r="H80" s="38" t="s">
        <v>129</v>
      </c>
      <c r="I80" s="38" t="s">
        <v>950</v>
      </c>
      <c r="J80" s="38" t="s">
        <v>132</v>
      </c>
      <c r="K80" s="38" t="s">
        <v>133</v>
      </c>
      <c r="L80" s="38" t="str">
        <f t="shared" si="2"/>
        <v>変更</v>
      </c>
    </row>
    <row r="81" spans="1:12" ht="17.649999999999999" customHeight="1" x14ac:dyDescent="0.55000000000000004">
      <c r="A81" s="38">
        <v>80</v>
      </c>
      <c r="B81" s="38" t="s">
        <v>530</v>
      </c>
      <c r="C81" s="38" t="s">
        <v>532</v>
      </c>
      <c r="D81" s="38" t="s">
        <v>307</v>
      </c>
      <c r="E81" s="38" t="s">
        <v>899</v>
      </c>
      <c r="F81" s="38" t="s">
        <v>139</v>
      </c>
      <c r="G81" s="38" t="s">
        <v>141</v>
      </c>
      <c r="H81" s="38" t="s">
        <v>398</v>
      </c>
      <c r="I81" s="38" t="s">
        <v>951</v>
      </c>
      <c r="J81" s="38" t="s">
        <v>143</v>
      </c>
      <c r="K81" s="38" t="s">
        <v>144</v>
      </c>
      <c r="L81" s="38" t="str">
        <f t="shared" si="2"/>
        <v>変更</v>
      </c>
    </row>
    <row r="82" spans="1:12" ht="17.649999999999999" customHeight="1" x14ac:dyDescent="0.55000000000000004">
      <c r="A82" s="38">
        <v>81</v>
      </c>
      <c r="B82" s="38" t="s">
        <v>533</v>
      </c>
      <c r="C82" s="38" t="s">
        <v>535</v>
      </c>
      <c r="D82" s="38" t="s">
        <v>116</v>
      </c>
      <c r="E82" s="38" t="s">
        <v>851</v>
      </c>
      <c r="F82" s="38" t="s">
        <v>116</v>
      </c>
      <c r="G82" s="38" t="s">
        <v>118</v>
      </c>
      <c r="H82" s="38" t="s">
        <v>117</v>
      </c>
      <c r="I82" s="38" t="s">
        <v>952</v>
      </c>
      <c r="J82" s="38" t="s">
        <v>120</v>
      </c>
      <c r="K82" s="38" t="s">
        <v>121</v>
      </c>
      <c r="L82" s="38" t="str">
        <f t="shared" si="2"/>
        <v>変更</v>
      </c>
    </row>
    <row r="83" spans="1:12" ht="17.649999999999999" customHeight="1" x14ac:dyDescent="0.55000000000000004">
      <c r="A83" s="38">
        <v>82</v>
      </c>
      <c r="B83" s="38" t="s">
        <v>536</v>
      </c>
      <c r="C83" s="38" t="s">
        <v>538</v>
      </c>
      <c r="D83" s="38" t="s">
        <v>128</v>
      </c>
      <c r="E83" s="38" t="s">
        <v>10</v>
      </c>
      <c r="F83" s="38" t="s">
        <v>139</v>
      </c>
      <c r="G83" s="38" t="s">
        <v>141</v>
      </c>
      <c r="H83" s="38" t="s">
        <v>372</v>
      </c>
      <c r="I83" s="38" t="s">
        <v>953</v>
      </c>
      <c r="J83" s="38" t="s">
        <v>143</v>
      </c>
      <c r="K83" s="38" t="s">
        <v>144</v>
      </c>
      <c r="L83" s="38" t="str">
        <f t="shared" si="2"/>
        <v>変更</v>
      </c>
    </row>
    <row r="84" spans="1:12" ht="17.649999999999999" customHeight="1" x14ac:dyDescent="0.55000000000000004">
      <c r="A84" s="38">
        <v>83</v>
      </c>
      <c r="B84" s="38" t="s">
        <v>539</v>
      </c>
      <c r="C84" s="38" t="s">
        <v>542</v>
      </c>
      <c r="D84" s="38" t="s">
        <v>139</v>
      </c>
      <c r="E84" s="38" t="s">
        <v>854</v>
      </c>
      <c r="F84" s="38" t="s">
        <v>292</v>
      </c>
      <c r="G84" s="38" t="s">
        <v>294</v>
      </c>
      <c r="H84" s="38" t="s">
        <v>540</v>
      </c>
      <c r="I84" s="38" t="s">
        <v>954</v>
      </c>
      <c r="J84" s="38" t="s">
        <v>295</v>
      </c>
      <c r="K84" s="38" t="s">
        <v>296</v>
      </c>
      <c r="L84" s="38" t="str">
        <f t="shared" si="2"/>
        <v>変更</v>
      </c>
    </row>
    <row r="85" spans="1:12" ht="17.649999999999999" customHeight="1" x14ac:dyDescent="0.55000000000000004">
      <c r="A85" s="38">
        <v>84</v>
      </c>
      <c r="B85" s="38" t="s">
        <v>543</v>
      </c>
      <c r="C85" s="38" t="s">
        <v>545</v>
      </c>
      <c r="D85" s="38" t="s">
        <v>220</v>
      </c>
      <c r="E85" s="38" t="s">
        <v>888</v>
      </c>
      <c r="F85" s="38" t="s">
        <v>361</v>
      </c>
      <c r="G85" s="38" t="s">
        <v>363</v>
      </c>
      <c r="H85" s="38" t="s">
        <v>384</v>
      </c>
      <c r="I85" s="38" t="s">
        <v>955</v>
      </c>
      <c r="J85" s="38" t="s">
        <v>365</v>
      </c>
      <c r="K85" s="38" t="s">
        <v>366</v>
      </c>
      <c r="L85" s="38" t="str">
        <f t="shared" si="2"/>
        <v>変更</v>
      </c>
    </row>
    <row r="86" spans="1:12" ht="17.649999999999999" customHeight="1" x14ac:dyDescent="0.55000000000000004">
      <c r="A86" s="38">
        <v>85</v>
      </c>
      <c r="B86" s="38" t="s">
        <v>546</v>
      </c>
      <c r="C86" s="38" t="s">
        <v>548</v>
      </c>
      <c r="D86" s="38" t="s">
        <v>171</v>
      </c>
      <c r="E86" s="38" t="s">
        <v>874</v>
      </c>
      <c r="F86" s="38" t="s">
        <v>116</v>
      </c>
      <c r="G86" s="38" t="s">
        <v>118</v>
      </c>
      <c r="H86" s="38" t="s">
        <v>322</v>
      </c>
      <c r="I86" s="38" t="s">
        <v>956</v>
      </c>
      <c r="J86" s="38" t="s">
        <v>120</v>
      </c>
      <c r="K86" s="38" t="s">
        <v>121</v>
      </c>
      <c r="L86" s="38" t="str">
        <f t="shared" si="2"/>
        <v>変更</v>
      </c>
    </row>
    <row r="87" spans="1:12" ht="17.649999999999999" customHeight="1" x14ac:dyDescent="0.55000000000000004">
      <c r="A87" s="38">
        <v>86</v>
      </c>
      <c r="B87" s="38" t="s">
        <v>549</v>
      </c>
      <c r="C87" s="38" t="s">
        <v>552</v>
      </c>
      <c r="D87" s="38" t="s">
        <v>183</v>
      </c>
      <c r="E87" s="38" t="s">
        <v>891</v>
      </c>
      <c r="F87" s="38" t="s">
        <v>183</v>
      </c>
      <c r="G87" s="38" t="s">
        <v>185</v>
      </c>
      <c r="H87" s="38" t="s">
        <v>550</v>
      </c>
      <c r="I87" s="38" t="s">
        <v>957</v>
      </c>
      <c r="J87" s="38" t="s">
        <v>187</v>
      </c>
      <c r="K87" s="38" t="s">
        <v>188</v>
      </c>
      <c r="L87" s="38" t="str">
        <f t="shared" si="2"/>
        <v>変更</v>
      </c>
    </row>
    <row r="88" spans="1:12" ht="17.649999999999999" customHeight="1" x14ac:dyDescent="0.55000000000000004">
      <c r="A88" s="38">
        <v>87</v>
      </c>
      <c r="B88" s="38" t="s">
        <v>553</v>
      </c>
      <c r="C88" s="38" t="s">
        <v>556</v>
      </c>
      <c r="D88" s="38" t="s">
        <v>150</v>
      </c>
      <c r="E88" s="38" t="s">
        <v>893</v>
      </c>
      <c r="F88" s="38" t="s">
        <v>116</v>
      </c>
      <c r="G88" s="38" t="s">
        <v>118</v>
      </c>
      <c r="H88" s="38" t="s">
        <v>117</v>
      </c>
      <c r="I88" s="38" t="s">
        <v>958</v>
      </c>
      <c r="J88" s="38" t="s">
        <v>120</v>
      </c>
      <c r="K88" s="38" t="s">
        <v>121</v>
      </c>
      <c r="L88" s="38" t="str">
        <f t="shared" si="2"/>
        <v>変更</v>
      </c>
    </row>
    <row r="89" spans="1:12" ht="17.649999999999999" customHeight="1" x14ac:dyDescent="0.55000000000000004">
      <c r="A89" s="38">
        <v>88</v>
      </c>
      <c r="B89" s="38" t="s">
        <v>557</v>
      </c>
      <c r="C89" s="38" t="s">
        <v>560</v>
      </c>
      <c r="D89" s="38" t="s">
        <v>292</v>
      </c>
      <c r="E89" s="38" t="s">
        <v>895</v>
      </c>
      <c r="F89" s="38" t="s">
        <v>183</v>
      </c>
      <c r="G89" s="38" t="s">
        <v>185</v>
      </c>
      <c r="H89" s="38" t="s">
        <v>558</v>
      </c>
      <c r="I89" s="38" t="s">
        <v>959</v>
      </c>
      <c r="J89" s="38" t="s">
        <v>187</v>
      </c>
      <c r="K89" s="38" t="s">
        <v>188</v>
      </c>
      <c r="L89" s="38" t="str">
        <f t="shared" si="2"/>
        <v>変更</v>
      </c>
    </row>
    <row r="90" spans="1:12" ht="17.649999999999999" customHeight="1" x14ac:dyDescent="0.55000000000000004">
      <c r="A90" s="38">
        <v>89</v>
      </c>
      <c r="B90" s="38" t="s">
        <v>561</v>
      </c>
      <c r="C90" s="38" t="s">
        <v>564</v>
      </c>
      <c r="D90" s="38" t="s">
        <v>209</v>
      </c>
      <c r="E90" s="38" t="s">
        <v>897</v>
      </c>
      <c r="F90" s="38" t="s">
        <v>425</v>
      </c>
      <c r="G90" s="38" t="s">
        <v>427</v>
      </c>
      <c r="H90" s="38" t="s">
        <v>562</v>
      </c>
      <c r="I90" s="38" t="s">
        <v>960</v>
      </c>
      <c r="J90" s="38" t="s">
        <v>429</v>
      </c>
      <c r="K90" s="38" t="s">
        <v>430</v>
      </c>
      <c r="L90" s="38" t="str">
        <f t="shared" si="2"/>
        <v>変更</v>
      </c>
    </row>
    <row r="91" spans="1:12" ht="17.649999999999999" customHeight="1" x14ac:dyDescent="0.55000000000000004">
      <c r="A91" s="38">
        <v>90</v>
      </c>
      <c r="B91" s="38" t="s">
        <v>565</v>
      </c>
      <c r="C91" s="38" t="s">
        <v>569</v>
      </c>
      <c r="D91" s="38" t="s">
        <v>307</v>
      </c>
      <c r="E91" s="38" t="s">
        <v>899</v>
      </c>
      <c r="F91" s="38" t="s">
        <v>251</v>
      </c>
      <c r="G91" s="38" t="s">
        <v>253</v>
      </c>
      <c r="H91" s="38" t="s">
        <v>566</v>
      </c>
      <c r="I91" s="38" t="s">
        <v>961</v>
      </c>
      <c r="J91" s="38" t="s">
        <v>255</v>
      </c>
      <c r="K91" s="38" t="s">
        <v>256</v>
      </c>
      <c r="L91" s="38" t="str">
        <f t="shared" si="2"/>
        <v>変更</v>
      </c>
    </row>
  </sheetData>
  <phoneticPr fontId="20"/>
  <conditionalFormatting sqref="L2:L91">
    <cfRule type="expression" dxfId="1" priority="1">
      <formula>L2="変更"</formula>
    </cfRule>
    <cfRule type="expression" dxfId="0" priority="2">
      <formula>L2="維持"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Sheet1</vt:lpstr>
      <vt:lpstr>01_テスト結果一覧</vt:lpstr>
      <vt:lpstr>02_T01-T10判定基準</vt:lpstr>
      <vt:lpstr>03_入力ルール</vt:lpstr>
      <vt:lpstr>05_ケース別テスト対応</vt:lpstr>
      <vt:lpstr>06_試験ID件数サマリー</vt:lpstr>
      <vt:lpstr>00_使い方</vt:lpstr>
      <vt:lpstr>00_PoC一括実行</vt:lpstr>
      <vt:lpstr>07_画像基準再分類_変更一覧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ZEN0926 BAM</cp:lastModifiedBy>
  <dcterms:modified xsi:type="dcterms:W3CDTF">2026-10-05T22:16:03Z</dcterms:modified>
</cp:coreProperties>
</file>